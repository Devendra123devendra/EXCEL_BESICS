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dra kushwah\OneDrive\Desktop\"/>
    </mc:Choice>
  </mc:AlternateContent>
  <xr:revisionPtr revIDLastSave="0" documentId="8_{8CF40C1A-9385-44CB-A4AC-BF698CAFA0B5}" xr6:coauthVersionLast="47" xr6:coauthVersionMax="47" xr10:uidLastSave="{00000000-0000-0000-0000-000000000000}"/>
  <bookViews>
    <workbookView xWindow="-120" yWindow="-120" windowWidth="29040" windowHeight="15720" xr2:uid="{6113B871-7FBD-4B88-99F1-7B3F8AD72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8" i="1" l="1"/>
  <c r="U20" i="1"/>
  <c r="U37" i="1"/>
  <c r="U36" i="1"/>
  <c r="U35" i="1"/>
  <c r="U34" i="1"/>
  <c r="U30" i="1"/>
  <c r="U29" i="1"/>
  <c r="U28" i="1"/>
  <c r="U27" i="1"/>
  <c r="U26" i="1"/>
  <c r="U22" i="1"/>
  <c r="U18" i="1"/>
  <c r="U21" i="1"/>
  <c r="U19" i="1"/>
  <c r="U14" i="1"/>
  <c r="U13" i="1"/>
  <c r="U12" i="1"/>
  <c r="U11" i="1"/>
  <c r="U10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<sst xmlns="http://schemas.openxmlformats.org/spreadsheetml/2006/main" count="1068" uniqueCount="62">
  <si>
    <t>Date</t>
  </si>
  <si>
    <t>Region</t>
  </si>
  <si>
    <t>Salesperson</t>
  </si>
  <si>
    <t>Product</t>
  </si>
  <si>
    <t>Units Sold</t>
  </si>
  <si>
    <t>Total sales</t>
  </si>
  <si>
    <t>Discount %</t>
  </si>
  <si>
    <t>Profit</t>
  </si>
  <si>
    <t>Category</t>
  </si>
  <si>
    <t>Customer Type</t>
  </si>
  <si>
    <t>North</t>
  </si>
  <si>
    <t>Ramesh</t>
  </si>
  <si>
    <t>Tablet</t>
  </si>
  <si>
    <t>Gadgets</t>
  </si>
  <si>
    <t>Retail</t>
  </si>
  <si>
    <t>South</t>
  </si>
  <si>
    <t>Sita</t>
  </si>
  <si>
    <t>Accessories</t>
  </si>
  <si>
    <t>Ravi</t>
  </si>
  <si>
    <t>Laptop</t>
  </si>
  <si>
    <t>Electronics</t>
  </si>
  <si>
    <t>Wholesale</t>
  </si>
  <si>
    <t>East</t>
  </si>
  <si>
    <t>John</t>
  </si>
  <si>
    <t>West</t>
  </si>
  <si>
    <t>Phone</t>
  </si>
  <si>
    <t>SUMIFS Examples</t>
  </si>
  <si>
    <t>1. Total sales for Retail customers in the North region</t>
  </si>
  <si>
    <t>2. Total sales of Phones sold by Sita</t>
  </si>
  <si>
    <t>3. Total sales where discount &gt; 10% and category is Electronics</t>
  </si>
  <si>
    <t>4. Total sales in South region by Wholesale customers</t>
  </si>
  <si>
    <t>5. Total sales for Tablets sold in March 2024</t>
  </si>
  <si>
    <t>COUNTIFS Examples</t>
  </si>
  <si>
    <t>1. Count of sales made by Ravi in West region</t>
  </si>
  <si>
    <t>2. Count of Laptop sales with Retail customers</t>
  </si>
  <si>
    <t>3. Count where Units Sold &gt; 5 and Discount &lt; 10%</t>
  </si>
  <si>
    <t>4. Count of Phone sales in April 2024</t>
  </si>
  <si>
    <t>5. Count of sales in Gadgets category with Profit &gt; 10000</t>
  </si>
  <si>
    <t>AVERAGEIFS Examples</t>
  </si>
  <si>
    <t>1. Average sales for Retail customers buying Tablets</t>
  </si>
  <si>
    <t>2. Average profit for Electronics category sold in East</t>
  </si>
  <si>
    <t>3. Average units sold by John in March 2024</t>
  </si>
  <si>
    <t>4. Average sales where discount &gt; 8% and category is Gadgets</t>
  </si>
  <si>
    <t>5. Average profit on Phones sold to Wholesale customers</t>
  </si>
  <si>
    <t>MAXIFS Examples</t>
  </si>
  <si>
    <t>1. Max profit on Laptop sales</t>
  </si>
  <si>
    <t>2. Max units sold in South region</t>
  </si>
  <si>
    <t>3. Max discount for Retail customers buying Tablets</t>
  </si>
  <si>
    <t>4. Max profit in Accessories category sold in North</t>
  </si>
  <si>
    <t>5. Max sales made by Ramesh in April 2024</t>
  </si>
  <si>
    <t>MINIFS Examples</t>
  </si>
  <si>
    <t>1. Min profit in West region</t>
  </si>
  <si>
    <t>2. Min units sold by Sita in Accessories category</t>
  </si>
  <si>
    <t>3. Min sales for Tablet sold to Wholesale customers</t>
  </si>
  <si>
    <t>4. Min discount in Electronics category</t>
  </si>
  <si>
    <t>5. Min profit by John in Gadgets category during March 2024</t>
  </si>
  <si>
    <t>solution</t>
  </si>
  <si>
    <t>Retail customers total sales</t>
  </si>
  <si>
    <t>total sales phone  by sita</t>
  </si>
  <si>
    <t>question</t>
  </si>
  <si>
    <t>total sales 10% diacount by category electronics</t>
  </si>
  <si>
    <t>total sales south by wholesale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</si>
</sst>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indent="2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49BF-BBF8-4E97-A161-348CD8AC13D3}">
  <dimension ref="A1:Z201"/>
  <sheetViews>
    <sheetView tabSelected="1" zoomScale="90" workbookViewId="0">
      <selection activeCell="X1" sqref="X1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11.7109375" bestFit="1" customWidth="1"/>
    <col min="4" max="4" width="7.85546875" bestFit="1" customWidth="1"/>
    <col min="5" max="5" width="10" bestFit="1" customWidth="1"/>
    <col min="6" max="6" width="10.28515625" bestFit="1" customWidth="1"/>
    <col min="7" max="7" width="10.7109375" bestFit="1" customWidth="1"/>
    <col min="8" max="8" width="10" bestFit="1" customWidth="1"/>
    <col min="9" max="9" width="11.28515625" bestFit="1" customWidth="1"/>
    <col min="10" max="10" width="14.42578125" bestFit="1" customWidth="1"/>
    <col min="19" max="19" width="25.5703125" bestFit="1" customWidth="1"/>
    <col min="20" max="20" width="57.5703125" customWidth="1"/>
  </cols>
  <sheetData>
    <row r="1" spans="1:25" ht="46.5" x14ac:dyDescent="0.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4" t="s">
        <v>9</v>
      </c>
      <c r="L1" s="6" t="s">
        <v>26</v>
      </c>
      <c r="S1" s="13" t="s">
        <v>56</v>
      </c>
      <c r="T1" s="15" t="s">
        <v>59</v>
      </c>
      <c r="U1" s="14" t="s">
        <v>56</v>
      </c>
    </row>
    <row r="2" spans="1:25" x14ac:dyDescent="0.25">
      <c r="A2" s="3">
        <v>45292</v>
      </c>
      <c r="B2" s="2" t="s">
        <v>10</v>
      </c>
      <c r="C2" s="2" t="s">
        <v>11</v>
      </c>
      <c r="D2" s="2" t="s">
        <v>12</v>
      </c>
      <c r="E2" s="2">
        <v>5</v>
      </c>
      <c r="F2" s="2">
        <v>60030</v>
      </c>
      <c r="G2" s="2">
        <v>14.03</v>
      </c>
      <c r="H2" s="2">
        <v>16617.37</v>
      </c>
      <c r="I2" s="2" t="s">
        <v>13</v>
      </c>
      <c r="J2" s="2" t="s">
        <v>14</v>
      </c>
      <c r="L2" s="11" t="s">
        <v>27</v>
      </c>
      <c r="T2" t="s">
        <v>57</v>
      </c>
      <c r="U2">
        <f>SUMIFS(F1:F201,J1:J201,"Retail",B1:B201,"North")</f>
        <v>2858396</v>
      </c>
    </row>
    <row r="3" spans="1:25" x14ac:dyDescent="0.25">
      <c r="A3" s="3">
        <v>45293</v>
      </c>
      <c r="B3" s="2" t="s">
        <v>15</v>
      </c>
      <c r="C3" s="2" t="s">
        <v>16</v>
      </c>
      <c r="D3" s="2" t="s">
        <v>12</v>
      </c>
      <c r="E3" s="2">
        <v>2</v>
      </c>
      <c r="F3" s="2">
        <v>28934</v>
      </c>
      <c r="G3" s="2">
        <v>5.46</v>
      </c>
      <c r="H3" s="2">
        <v>8148.82</v>
      </c>
      <c r="I3" s="2" t="s">
        <v>17</v>
      </c>
      <c r="J3" s="2" t="s">
        <v>14</v>
      </c>
      <c r="L3" s="11" t="s">
        <v>28</v>
      </c>
      <c r="T3" t="s">
        <v>58</v>
      </c>
      <c r="U3">
        <f>SUMIFS(F1:F201,D1:D201,"phone",C1:C201,"Sita")</f>
        <v>1052897</v>
      </c>
    </row>
    <row r="4" spans="1:25" x14ac:dyDescent="0.25">
      <c r="A4" s="3">
        <v>45294</v>
      </c>
      <c r="B4" s="2" t="s">
        <v>10</v>
      </c>
      <c r="C4" s="2" t="s">
        <v>18</v>
      </c>
      <c r="D4" s="2" t="s">
        <v>19</v>
      </c>
      <c r="E4" s="2">
        <v>1</v>
      </c>
      <c r="F4" s="2">
        <v>46535</v>
      </c>
      <c r="G4" s="2">
        <v>12.96</v>
      </c>
      <c r="H4" s="2">
        <v>14486.59</v>
      </c>
      <c r="I4" s="2" t="s">
        <v>20</v>
      </c>
      <c r="J4" s="2" t="s">
        <v>14</v>
      </c>
      <c r="L4" s="11" t="s">
        <v>29</v>
      </c>
      <c r="T4" t="s">
        <v>60</v>
      </c>
      <c r="U4">
        <f>SUMIFS(F1:F201,G1:G201,"&gt;10",I1:I201,"Electronics")</f>
        <v>5642670</v>
      </c>
    </row>
    <row r="5" spans="1:25" x14ac:dyDescent="0.25">
      <c r="A5" s="3">
        <v>45295</v>
      </c>
      <c r="B5" s="2" t="s">
        <v>15</v>
      </c>
      <c r="C5" s="2" t="s">
        <v>16</v>
      </c>
      <c r="D5" s="2" t="s">
        <v>12</v>
      </c>
      <c r="E5" s="2">
        <v>10</v>
      </c>
      <c r="F5" s="2">
        <v>102170</v>
      </c>
      <c r="G5" s="2">
        <v>7.93</v>
      </c>
      <c r="H5" s="2">
        <v>22689.4</v>
      </c>
      <c r="I5" s="2" t="s">
        <v>17</v>
      </c>
      <c r="J5" s="2" t="s">
        <v>21</v>
      </c>
      <c r="L5" s="11" t="s">
        <v>30</v>
      </c>
      <c r="T5" t="s">
        <v>61</v>
      </c>
      <c r="U5">
        <f>SUMIFS(F1:F201,B1:B201,"South",J1:J201,"Wholesale")</f>
        <v>5360107</v>
      </c>
    </row>
    <row r="6" spans="1:25" x14ac:dyDescent="0.25">
      <c r="A6" s="3">
        <v>45296</v>
      </c>
      <c r="B6" s="2" t="s">
        <v>15</v>
      </c>
      <c r="C6" s="2" t="s">
        <v>18</v>
      </c>
      <c r="D6" s="2" t="s">
        <v>19</v>
      </c>
      <c r="E6" s="2">
        <v>8</v>
      </c>
      <c r="F6" s="2">
        <v>437232</v>
      </c>
      <c r="G6" s="2">
        <v>8.75</v>
      </c>
      <c r="H6" s="2">
        <v>105178.56</v>
      </c>
      <c r="I6" s="2" t="s">
        <v>17</v>
      </c>
      <c r="J6" s="2" t="s">
        <v>21</v>
      </c>
      <c r="L6" s="7" t="s">
        <v>31</v>
      </c>
      <c r="T6" s="7" t="s">
        <v>31</v>
      </c>
      <c r="U6" s="5">
        <f>SUMIFS(F1:F201,D1:D201,"Tablet",A1:A201,"&gt;=01-03-2024",A1:A201,"&lt;=31-03-2024")</f>
        <v>695678</v>
      </c>
      <c r="V6" s="5"/>
      <c r="W6" s="5"/>
      <c r="X6" s="5"/>
    </row>
    <row r="7" spans="1:25" x14ac:dyDescent="0.25">
      <c r="A7" s="3">
        <v>45297</v>
      </c>
      <c r="B7" s="2" t="s">
        <v>22</v>
      </c>
      <c r="C7" s="2" t="s">
        <v>11</v>
      </c>
      <c r="D7" s="2" t="s">
        <v>19</v>
      </c>
      <c r="E7" s="2">
        <v>7</v>
      </c>
      <c r="F7" s="2">
        <v>354018</v>
      </c>
      <c r="G7" s="2">
        <v>6.46</v>
      </c>
      <c r="H7" s="2">
        <v>89491.81</v>
      </c>
      <c r="I7" s="2" t="s">
        <v>20</v>
      </c>
      <c r="J7" s="2" t="s">
        <v>14</v>
      </c>
      <c r="L7" s="8"/>
    </row>
    <row r="8" spans="1:25" x14ac:dyDescent="0.25">
      <c r="A8" s="3">
        <v>45298</v>
      </c>
      <c r="B8" s="2" t="s">
        <v>22</v>
      </c>
      <c r="C8" s="2" t="s">
        <v>16</v>
      </c>
      <c r="D8" s="2" t="s">
        <v>19</v>
      </c>
      <c r="E8" s="2">
        <v>6</v>
      </c>
      <c r="F8" s="2">
        <v>280044</v>
      </c>
      <c r="G8" s="2">
        <v>10.31</v>
      </c>
      <c r="H8" s="2">
        <v>54196.27</v>
      </c>
      <c r="I8" s="2" t="s">
        <v>20</v>
      </c>
      <c r="J8" s="2" t="s">
        <v>14</v>
      </c>
      <c r="L8" s="8"/>
    </row>
    <row r="9" spans="1:25" ht="18.75" x14ac:dyDescent="0.25">
      <c r="A9" s="3">
        <v>45299</v>
      </c>
      <c r="B9" s="2" t="s">
        <v>10</v>
      </c>
      <c r="C9" s="2" t="s">
        <v>18</v>
      </c>
      <c r="D9" s="2" t="s">
        <v>19</v>
      </c>
      <c r="E9" s="2">
        <v>6</v>
      </c>
      <c r="F9" s="2">
        <v>303810</v>
      </c>
      <c r="G9" s="2">
        <v>10.66</v>
      </c>
      <c r="H9" s="2">
        <v>78639.429999999993</v>
      </c>
      <c r="I9" s="2" t="s">
        <v>20</v>
      </c>
      <c r="J9" s="2" t="s">
        <v>21</v>
      </c>
      <c r="L9" s="9" t="s">
        <v>32</v>
      </c>
    </row>
    <row r="10" spans="1:25" x14ac:dyDescent="0.25">
      <c r="A10" s="3">
        <v>45300</v>
      </c>
      <c r="B10" s="2" t="s">
        <v>22</v>
      </c>
      <c r="C10" s="2" t="s">
        <v>11</v>
      </c>
      <c r="D10" s="2" t="s">
        <v>12</v>
      </c>
      <c r="E10" s="2">
        <v>8</v>
      </c>
      <c r="F10" s="2">
        <v>115136</v>
      </c>
      <c r="G10" s="2">
        <v>12.93</v>
      </c>
      <c r="H10" s="2">
        <v>33122.120000000003</v>
      </c>
      <c r="I10" s="2" t="s">
        <v>17</v>
      </c>
      <c r="J10" s="2" t="s">
        <v>14</v>
      </c>
      <c r="L10" s="12" t="s">
        <v>33</v>
      </c>
      <c r="T10" s="12" t="s">
        <v>33</v>
      </c>
      <c r="U10" s="5">
        <f>COUNTIFS(C:C,"Ravi",B:B,"West")</f>
        <v>12</v>
      </c>
      <c r="V10" s="5"/>
      <c r="W10" s="5"/>
      <c r="X10" s="5"/>
      <c r="Y10" s="5"/>
    </row>
    <row r="11" spans="1:25" x14ac:dyDescent="0.25">
      <c r="A11" s="3">
        <v>45301</v>
      </c>
      <c r="B11" s="2" t="s">
        <v>10</v>
      </c>
      <c r="C11" s="2" t="s">
        <v>18</v>
      </c>
      <c r="D11" s="2" t="s">
        <v>19</v>
      </c>
      <c r="E11" s="2">
        <v>9</v>
      </c>
      <c r="F11" s="2">
        <v>448227</v>
      </c>
      <c r="G11" s="2">
        <v>6.7</v>
      </c>
      <c r="H11" s="2">
        <v>96601.5</v>
      </c>
      <c r="I11" s="2" t="s">
        <v>13</v>
      </c>
      <c r="J11" s="2" t="s">
        <v>14</v>
      </c>
      <c r="L11" s="12" t="s">
        <v>34</v>
      </c>
      <c r="T11" s="12" t="s">
        <v>34</v>
      </c>
      <c r="U11" s="5">
        <f>COUNTIFS(D:D,"Laptop",J:J,"Retail")</f>
        <v>32</v>
      </c>
      <c r="V11" s="5"/>
      <c r="W11" s="5"/>
      <c r="X11" s="5"/>
      <c r="Y11" s="5"/>
    </row>
    <row r="12" spans="1:25" x14ac:dyDescent="0.25">
      <c r="A12" s="3">
        <v>45302</v>
      </c>
      <c r="B12" s="2" t="s">
        <v>22</v>
      </c>
      <c r="C12" s="2" t="s">
        <v>16</v>
      </c>
      <c r="D12" s="2" t="s">
        <v>12</v>
      </c>
      <c r="E12" s="2">
        <v>2</v>
      </c>
      <c r="F12" s="2">
        <v>20750</v>
      </c>
      <c r="G12" s="2">
        <v>5.79</v>
      </c>
      <c r="H12" s="2">
        <v>5797.7</v>
      </c>
      <c r="I12" s="2" t="s">
        <v>13</v>
      </c>
      <c r="J12" s="2" t="s">
        <v>14</v>
      </c>
      <c r="L12" s="12" t="s">
        <v>35</v>
      </c>
      <c r="T12" s="12" t="s">
        <v>35</v>
      </c>
      <c r="U12" s="5">
        <f>COUNTIFS(E:E,"&gt;5",G:G,"&lt;10")</f>
        <v>48</v>
      </c>
      <c r="V12" s="5"/>
      <c r="W12" s="5"/>
      <c r="X12" s="5"/>
      <c r="Y12" s="5"/>
    </row>
    <row r="13" spans="1:25" x14ac:dyDescent="0.25">
      <c r="A13" s="3">
        <v>45303</v>
      </c>
      <c r="B13" s="2" t="s">
        <v>15</v>
      </c>
      <c r="C13" s="2" t="s">
        <v>23</v>
      </c>
      <c r="D13" s="2" t="s">
        <v>19</v>
      </c>
      <c r="E13" s="2">
        <v>4</v>
      </c>
      <c r="F13" s="2">
        <v>186616</v>
      </c>
      <c r="G13" s="2">
        <v>13.71</v>
      </c>
      <c r="H13" s="2">
        <v>48889</v>
      </c>
      <c r="I13" s="2" t="s">
        <v>17</v>
      </c>
      <c r="J13" s="2" t="s">
        <v>21</v>
      </c>
      <c r="L13" s="10" t="s">
        <v>36</v>
      </c>
      <c r="T13" s="10" t="s">
        <v>36</v>
      </c>
      <c r="U13" s="5">
        <f>COUNTIFS(D:D,"Phone",A:A,"&gt;=01-04-2024",A:A,"&lt;=30-04-2024")</f>
        <v>9</v>
      </c>
      <c r="V13" s="5"/>
      <c r="W13" s="5"/>
      <c r="X13" s="5"/>
      <c r="Y13" s="5"/>
    </row>
    <row r="14" spans="1:25" x14ac:dyDescent="0.25">
      <c r="A14" s="3">
        <v>45304</v>
      </c>
      <c r="B14" s="2" t="s">
        <v>24</v>
      </c>
      <c r="C14" s="2" t="s">
        <v>23</v>
      </c>
      <c r="D14" s="2" t="s">
        <v>25</v>
      </c>
      <c r="E14" s="2">
        <v>6</v>
      </c>
      <c r="F14" s="2">
        <v>79992</v>
      </c>
      <c r="G14" s="2">
        <v>11.2</v>
      </c>
      <c r="H14" s="2">
        <v>17628.84</v>
      </c>
      <c r="I14" s="2" t="s">
        <v>17</v>
      </c>
      <c r="J14" s="2" t="s">
        <v>21</v>
      </c>
      <c r="L14" s="12" t="s">
        <v>37</v>
      </c>
      <c r="T14" s="12" t="s">
        <v>37</v>
      </c>
      <c r="U14" s="5">
        <f>COUNTIFS(I:I,"Gadgets",H:H,"&gt;10000")</f>
        <v>59</v>
      </c>
      <c r="V14" s="5"/>
      <c r="W14" s="5"/>
      <c r="X14" s="5"/>
      <c r="Y14" s="5"/>
    </row>
    <row r="15" spans="1:25" x14ac:dyDescent="0.25">
      <c r="A15" s="3">
        <v>45305</v>
      </c>
      <c r="B15" s="2" t="s">
        <v>22</v>
      </c>
      <c r="C15" s="2" t="s">
        <v>23</v>
      </c>
      <c r="D15" s="2" t="s">
        <v>19</v>
      </c>
      <c r="E15" s="2">
        <v>5</v>
      </c>
      <c r="F15" s="2">
        <v>230845</v>
      </c>
      <c r="G15" s="2">
        <v>7.41</v>
      </c>
      <c r="H15" s="2">
        <v>49668.15</v>
      </c>
      <c r="I15" s="2" t="s">
        <v>17</v>
      </c>
      <c r="J15" s="2" t="s">
        <v>14</v>
      </c>
      <c r="L15" s="8"/>
    </row>
    <row r="16" spans="1:25" x14ac:dyDescent="0.25">
      <c r="A16" s="3">
        <v>45306</v>
      </c>
      <c r="B16" s="2" t="s">
        <v>15</v>
      </c>
      <c r="C16" s="2" t="s">
        <v>16</v>
      </c>
      <c r="D16" s="2" t="s">
        <v>19</v>
      </c>
      <c r="E16" s="2">
        <v>8</v>
      </c>
      <c r="F16" s="2">
        <v>409728</v>
      </c>
      <c r="G16" s="2">
        <v>14.13</v>
      </c>
      <c r="H16" s="2">
        <v>105264.84</v>
      </c>
      <c r="I16" s="2" t="s">
        <v>20</v>
      </c>
      <c r="J16" s="2" t="s">
        <v>21</v>
      </c>
      <c r="L16" s="8"/>
    </row>
    <row r="17" spans="1:26" ht="18.75" x14ac:dyDescent="0.25">
      <c r="A17" s="3">
        <v>45307</v>
      </c>
      <c r="B17" s="2" t="s">
        <v>22</v>
      </c>
      <c r="C17" s="2" t="s">
        <v>16</v>
      </c>
      <c r="D17" s="2" t="s">
        <v>12</v>
      </c>
      <c r="E17" s="2">
        <v>6</v>
      </c>
      <c r="F17" s="2">
        <v>62748</v>
      </c>
      <c r="G17" s="2">
        <v>6.43</v>
      </c>
      <c r="H17" s="2">
        <v>12365.22</v>
      </c>
      <c r="I17" s="2" t="s">
        <v>13</v>
      </c>
      <c r="J17" s="2" t="s">
        <v>14</v>
      </c>
      <c r="L17" s="9" t="s">
        <v>38</v>
      </c>
    </row>
    <row r="18" spans="1:26" x14ac:dyDescent="0.25">
      <c r="A18" s="3">
        <v>45308</v>
      </c>
      <c r="B18" s="2" t="s">
        <v>15</v>
      </c>
      <c r="C18" s="2" t="s">
        <v>11</v>
      </c>
      <c r="D18" s="2" t="s">
        <v>25</v>
      </c>
      <c r="E18" s="2">
        <v>7</v>
      </c>
      <c r="F18" s="2">
        <v>99351</v>
      </c>
      <c r="G18" s="2">
        <v>9.61</v>
      </c>
      <c r="H18" s="2">
        <v>29103.17</v>
      </c>
      <c r="I18" s="2" t="s">
        <v>13</v>
      </c>
      <c r="J18" s="2" t="s">
        <v>21</v>
      </c>
      <c r="L18" s="10" t="s">
        <v>39</v>
      </c>
      <c r="T18" s="10" t="s">
        <v>39</v>
      </c>
      <c r="U18" s="5">
        <f>AVERAGEIFS(F:F,J:J,"Retail",D:D,"Tablet")</f>
        <v>78670.666666666672</v>
      </c>
      <c r="V18" s="5"/>
      <c r="W18" s="5"/>
      <c r="X18" s="5"/>
      <c r="Y18" s="5"/>
      <c r="Z18" s="5"/>
    </row>
    <row r="19" spans="1:26" x14ac:dyDescent="0.25">
      <c r="A19" s="3">
        <v>45309</v>
      </c>
      <c r="B19" s="2" t="s">
        <v>10</v>
      </c>
      <c r="C19" s="2" t="s">
        <v>16</v>
      </c>
      <c r="D19" s="2" t="s">
        <v>12</v>
      </c>
      <c r="E19" s="2">
        <v>6</v>
      </c>
      <c r="F19" s="2">
        <v>70446</v>
      </c>
      <c r="G19" s="2">
        <v>7.54</v>
      </c>
      <c r="H19" s="2">
        <v>17183.330000000002</v>
      </c>
      <c r="I19" s="2" t="s">
        <v>13</v>
      </c>
      <c r="J19" s="2" t="s">
        <v>14</v>
      </c>
      <c r="L19" s="10" t="s">
        <v>40</v>
      </c>
      <c r="T19" s="10" t="s">
        <v>40</v>
      </c>
      <c r="U19" s="5">
        <f>AVERAGEIFS(H:H,I:I,"Electronics",B:B,"East")</f>
        <v>59844.454999999994</v>
      </c>
      <c r="V19" s="5"/>
      <c r="W19" s="5"/>
      <c r="X19" s="5"/>
      <c r="Y19" s="5"/>
      <c r="Z19" s="5"/>
    </row>
    <row r="20" spans="1:26" x14ac:dyDescent="0.25">
      <c r="A20" s="3">
        <v>45310</v>
      </c>
      <c r="B20" s="2" t="s">
        <v>24</v>
      </c>
      <c r="C20" s="2" t="s">
        <v>18</v>
      </c>
      <c r="D20" s="2" t="s">
        <v>12</v>
      </c>
      <c r="E20" s="2">
        <v>8</v>
      </c>
      <c r="F20" s="2">
        <v>89360</v>
      </c>
      <c r="G20" s="2">
        <v>7.55</v>
      </c>
      <c r="H20" s="2">
        <v>24570.81</v>
      </c>
      <c r="I20" s="2" t="s">
        <v>13</v>
      </c>
      <c r="J20" s="2" t="s">
        <v>14</v>
      </c>
      <c r="L20" s="10" t="s">
        <v>41</v>
      </c>
      <c r="T20" s="10" t="s">
        <v>41</v>
      </c>
      <c r="U20" s="5">
        <f>AVERAGEIFS(E:E,C:C,"John",A:A,"&gt;=01-03-2024",A:A,"&gt;=31-03-2024")</f>
        <v>5.96875</v>
      </c>
      <c r="V20" s="5"/>
      <c r="W20" s="5"/>
      <c r="X20" s="5"/>
      <c r="Y20" s="5"/>
      <c r="Z20" s="5"/>
    </row>
    <row r="21" spans="1:26" x14ac:dyDescent="0.25">
      <c r="A21" s="3">
        <v>45311</v>
      </c>
      <c r="B21" s="2" t="s">
        <v>22</v>
      </c>
      <c r="C21" s="2" t="s">
        <v>16</v>
      </c>
      <c r="D21" s="2" t="s">
        <v>19</v>
      </c>
      <c r="E21" s="2">
        <v>9</v>
      </c>
      <c r="F21" s="2">
        <v>484470</v>
      </c>
      <c r="G21" s="2">
        <v>5.09</v>
      </c>
      <c r="H21" s="2">
        <v>116250.92</v>
      </c>
      <c r="I21" s="2" t="s">
        <v>13</v>
      </c>
      <c r="J21" s="2" t="s">
        <v>21</v>
      </c>
      <c r="L21" s="10" t="s">
        <v>42</v>
      </c>
      <c r="T21" s="10" t="s">
        <v>42</v>
      </c>
      <c r="U21" s="5">
        <f>AVERAGEIFS(F:F,G:G,"&gt;8",I:I,"Gadgets")</f>
        <v>143790.55319148937</v>
      </c>
      <c r="V21" s="5"/>
      <c r="W21" s="5"/>
      <c r="X21" s="5"/>
      <c r="Y21" s="5"/>
      <c r="Z21" s="5"/>
    </row>
    <row r="22" spans="1:26" x14ac:dyDescent="0.25">
      <c r="A22" s="3">
        <v>45312</v>
      </c>
      <c r="B22" s="2" t="s">
        <v>22</v>
      </c>
      <c r="C22" s="2" t="s">
        <v>18</v>
      </c>
      <c r="D22" s="2" t="s">
        <v>12</v>
      </c>
      <c r="E22" s="2">
        <v>7</v>
      </c>
      <c r="F22" s="2">
        <v>90755</v>
      </c>
      <c r="G22" s="2">
        <v>13.05</v>
      </c>
      <c r="H22" s="2">
        <v>26200.73</v>
      </c>
      <c r="I22" s="2" t="s">
        <v>13</v>
      </c>
      <c r="J22" s="2" t="s">
        <v>14</v>
      </c>
      <c r="L22" s="10" t="s">
        <v>43</v>
      </c>
      <c r="T22" s="10" t="s">
        <v>43</v>
      </c>
      <c r="U22" s="5">
        <f>AVERAGEIFS(H:H,D:D,"Phone",J:J,"Wholesale")</f>
        <v>19950.159642857143</v>
      </c>
      <c r="V22" s="5"/>
      <c r="W22" s="5"/>
      <c r="X22" s="5"/>
      <c r="Y22" s="5"/>
      <c r="Z22" s="5"/>
    </row>
    <row r="23" spans="1:26" x14ac:dyDescent="0.25">
      <c r="A23" s="3">
        <v>45313</v>
      </c>
      <c r="B23" s="2" t="s">
        <v>15</v>
      </c>
      <c r="C23" s="2" t="s">
        <v>16</v>
      </c>
      <c r="D23" s="2" t="s">
        <v>12</v>
      </c>
      <c r="E23" s="2">
        <v>8</v>
      </c>
      <c r="F23" s="2">
        <v>85952</v>
      </c>
      <c r="G23" s="2">
        <v>14.01</v>
      </c>
      <c r="H23" s="2">
        <v>25908.99</v>
      </c>
      <c r="I23" s="2" t="s">
        <v>17</v>
      </c>
      <c r="J23" s="2" t="s">
        <v>14</v>
      </c>
      <c r="L23" s="8"/>
    </row>
    <row r="24" spans="1:26" x14ac:dyDescent="0.25">
      <c r="A24" s="3">
        <v>45314</v>
      </c>
      <c r="B24" s="2" t="s">
        <v>10</v>
      </c>
      <c r="C24" s="2" t="s">
        <v>11</v>
      </c>
      <c r="D24" s="2" t="s">
        <v>19</v>
      </c>
      <c r="E24" s="2">
        <v>3</v>
      </c>
      <c r="F24" s="2">
        <v>155748</v>
      </c>
      <c r="G24" s="2">
        <v>11.78</v>
      </c>
      <c r="H24" s="2">
        <v>50732.97</v>
      </c>
      <c r="I24" s="2" t="s">
        <v>17</v>
      </c>
      <c r="J24" s="2" t="s">
        <v>21</v>
      </c>
      <c r="L24" s="8"/>
    </row>
    <row r="25" spans="1:26" ht="18.75" x14ac:dyDescent="0.25">
      <c r="A25" s="3">
        <v>45315</v>
      </c>
      <c r="B25" s="2" t="s">
        <v>10</v>
      </c>
      <c r="C25" s="2" t="s">
        <v>18</v>
      </c>
      <c r="D25" s="2" t="s">
        <v>25</v>
      </c>
      <c r="E25" s="2">
        <v>10</v>
      </c>
      <c r="F25" s="2">
        <v>158340</v>
      </c>
      <c r="G25" s="2">
        <v>6.58</v>
      </c>
      <c r="H25" s="2">
        <v>37929.65</v>
      </c>
      <c r="I25" s="2" t="s">
        <v>20</v>
      </c>
      <c r="J25" s="2" t="s">
        <v>21</v>
      </c>
      <c r="L25" s="9" t="s">
        <v>44</v>
      </c>
    </row>
    <row r="26" spans="1:26" x14ac:dyDescent="0.25">
      <c r="A26" s="3">
        <v>45316</v>
      </c>
      <c r="B26" s="2" t="s">
        <v>22</v>
      </c>
      <c r="C26" s="2" t="s">
        <v>11</v>
      </c>
      <c r="D26" s="2" t="s">
        <v>12</v>
      </c>
      <c r="E26" s="2">
        <v>2</v>
      </c>
      <c r="F26" s="2">
        <v>28796</v>
      </c>
      <c r="G26" s="2">
        <v>9.42</v>
      </c>
      <c r="H26" s="2">
        <v>6630.53</v>
      </c>
      <c r="I26" s="2" t="s">
        <v>17</v>
      </c>
      <c r="J26" s="2" t="s">
        <v>14</v>
      </c>
      <c r="L26" s="10" t="s">
        <v>45</v>
      </c>
      <c r="T26" s="10" t="s">
        <v>45</v>
      </c>
      <c r="U26" s="5">
        <f>_xlfn.MAXIFS(H:H,D:D,"Laptop")</f>
        <v>169106.4</v>
      </c>
      <c r="V26" s="5"/>
      <c r="W26" s="5"/>
      <c r="X26" s="5"/>
      <c r="Y26" s="5"/>
    </row>
    <row r="27" spans="1:26" x14ac:dyDescent="0.25">
      <c r="A27" s="3">
        <v>45317</v>
      </c>
      <c r="B27" s="2" t="s">
        <v>22</v>
      </c>
      <c r="C27" s="2" t="s">
        <v>23</v>
      </c>
      <c r="D27" s="2" t="s">
        <v>19</v>
      </c>
      <c r="E27" s="2">
        <v>5</v>
      </c>
      <c r="F27" s="2">
        <v>260615</v>
      </c>
      <c r="G27" s="2">
        <v>8.4600000000000009</v>
      </c>
      <c r="H27" s="2">
        <v>68286.27</v>
      </c>
      <c r="I27" s="2" t="s">
        <v>17</v>
      </c>
      <c r="J27" s="2" t="s">
        <v>21</v>
      </c>
      <c r="L27" s="10" t="s">
        <v>46</v>
      </c>
      <c r="T27" s="10" t="s">
        <v>46</v>
      </c>
      <c r="U27" s="5">
        <f>_xlfn.MAXIFS(E:E,B:B,"South")</f>
        <v>10</v>
      </c>
      <c r="V27" s="5"/>
      <c r="W27" s="5"/>
      <c r="X27" s="5"/>
      <c r="Y27" s="5"/>
    </row>
    <row r="28" spans="1:26" x14ac:dyDescent="0.25">
      <c r="A28" s="3">
        <v>45318</v>
      </c>
      <c r="B28" s="2" t="s">
        <v>15</v>
      </c>
      <c r="C28" s="2" t="s">
        <v>18</v>
      </c>
      <c r="D28" s="2" t="s">
        <v>19</v>
      </c>
      <c r="E28" s="2">
        <v>5</v>
      </c>
      <c r="F28" s="2">
        <v>266005</v>
      </c>
      <c r="G28" s="2">
        <v>10.88</v>
      </c>
      <c r="H28" s="2">
        <v>82770.679999999993</v>
      </c>
      <c r="I28" s="2" t="s">
        <v>13</v>
      </c>
      <c r="J28" s="2" t="s">
        <v>21</v>
      </c>
      <c r="L28" s="10" t="s">
        <v>47</v>
      </c>
      <c r="T28" s="10" t="s">
        <v>47</v>
      </c>
      <c r="U28" s="5">
        <f>_xlfn.MAXIFS(G:G,J:J,"Retail",D:D,"Laptop")</f>
        <v>14.15</v>
      </c>
      <c r="V28" s="5"/>
      <c r="W28" s="5"/>
      <c r="X28" s="5"/>
      <c r="Y28" s="5"/>
    </row>
    <row r="29" spans="1:26" x14ac:dyDescent="0.25">
      <c r="A29" s="3">
        <v>45319</v>
      </c>
      <c r="B29" s="2" t="s">
        <v>15</v>
      </c>
      <c r="C29" s="2" t="s">
        <v>11</v>
      </c>
      <c r="D29" s="2" t="s">
        <v>12</v>
      </c>
      <c r="E29" s="2">
        <v>5</v>
      </c>
      <c r="F29" s="2">
        <v>70790</v>
      </c>
      <c r="G29" s="2">
        <v>11.39</v>
      </c>
      <c r="H29" s="2">
        <v>15059.94</v>
      </c>
      <c r="I29" s="2" t="s">
        <v>20</v>
      </c>
      <c r="J29" s="2" t="s">
        <v>21</v>
      </c>
      <c r="L29" s="10" t="s">
        <v>48</v>
      </c>
      <c r="T29" s="10" t="s">
        <v>48</v>
      </c>
      <c r="U29" s="5">
        <f>_xlfn.MAXIFS(H:H,I:I,"Accessories",B:B,"North")</f>
        <v>169106.4</v>
      </c>
      <c r="V29" s="5"/>
      <c r="W29" s="5"/>
      <c r="X29" s="5"/>
      <c r="Y29" s="5"/>
    </row>
    <row r="30" spans="1:26" x14ac:dyDescent="0.25">
      <c r="A30" s="3">
        <v>45320</v>
      </c>
      <c r="B30" s="2" t="s">
        <v>15</v>
      </c>
      <c r="C30" s="2" t="s">
        <v>16</v>
      </c>
      <c r="D30" s="2" t="s">
        <v>25</v>
      </c>
      <c r="E30" s="2">
        <v>3</v>
      </c>
      <c r="F30" s="2">
        <v>49254</v>
      </c>
      <c r="G30" s="2">
        <v>9.24</v>
      </c>
      <c r="H30" s="2">
        <v>15277.8</v>
      </c>
      <c r="I30" s="2" t="s">
        <v>13</v>
      </c>
      <c r="J30" s="2" t="s">
        <v>14</v>
      </c>
      <c r="L30" s="10" t="s">
        <v>49</v>
      </c>
      <c r="T30" s="10" t="s">
        <v>49</v>
      </c>
      <c r="U30" s="5">
        <f>_xlfn.MAXIFS(F:F,C:C,"Ramesh",A:A,"&gt;=01-04-2024",A:A,"&lt;=30-04-2024")</f>
        <v>104874</v>
      </c>
      <c r="V30" s="5"/>
      <c r="W30" s="5"/>
      <c r="X30" s="5"/>
      <c r="Y30" s="5"/>
    </row>
    <row r="31" spans="1:26" x14ac:dyDescent="0.25">
      <c r="A31" s="3">
        <v>45321</v>
      </c>
      <c r="B31" s="2" t="s">
        <v>10</v>
      </c>
      <c r="C31" s="2" t="s">
        <v>23</v>
      </c>
      <c r="D31" s="2" t="s">
        <v>25</v>
      </c>
      <c r="E31" s="2">
        <v>1</v>
      </c>
      <c r="F31" s="2">
        <v>12916</v>
      </c>
      <c r="G31" s="2">
        <v>7.5</v>
      </c>
      <c r="H31" s="2">
        <v>2465.02</v>
      </c>
      <c r="I31" s="2" t="s">
        <v>20</v>
      </c>
      <c r="J31" s="2" t="s">
        <v>21</v>
      </c>
      <c r="L31" s="8"/>
    </row>
    <row r="32" spans="1:26" x14ac:dyDescent="0.25">
      <c r="A32" s="3">
        <v>45322</v>
      </c>
      <c r="B32" s="2" t="s">
        <v>22</v>
      </c>
      <c r="C32" s="2" t="s">
        <v>23</v>
      </c>
      <c r="D32" s="2" t="s">
        <v>19</v>
      </c>
      <c r="E32" s="2">
        <v>1</v>
      </c>
      <c r="F32" s="2">
        <v>48946</v>
      </c>
      <c r="G32" s="2">
        <v>13.45</v>
      </c>
      <c r="H32" s="2">
        <v>16582.64</v>
      </c>
      <c r="I32" s="2" t="s">
        <v>17</v>
      </c>
      <c r="J32" s="2" t="s">
        <v>14</v>
      </c>
      <c r="L32" s="8"/>
    </row>
    <row r="33" spans="1:26" ht="18.75" x14ac:dyDescent="0.25">
      <c r="A33" s="3">
        <v>45323</v>
      </c>
      <c r="B33" s="2" t="s">
        <v>10</v>
      </c>
      <c r="C33" s="2" t="s">
        <v>11</v>
      </c>
      <c r="D33" s="2" t="s">
        <v>12</v>
      </c>
      <c r="E33" s="2">
        <v>8</v>
      </c>
      <c r="F33" s="2">
        <v>84528</v>
      </c>
      <c r="G33" s="2">
        <v>6.99</v>
      </c>
      <c r="H33" s="2">
        <v>24426.01</v>
      </c>
      <c r="I33" s="2" t="s">
        <v>17</v>
      </c>
      <c r="J33" s="2" t="s">
        <v>21</v>
      </c>
      <c r="L33" s="9" t="s">
        <v>50</v>
      </c>
    </row>
    <row r="34" spans="1:26" x14ac:dyDescent="0.25">
      <c r="A34" s="3">
        <v>45324</v>
      </c>
      <c r="B34" s="2" t="s">
        <v>15</v>
      </c>
      <c r="C34" s="2" t="s">
        <v>16</v>
      </c>
      <c r="D34" s="2" t="s">
        <v>12</v>
      </c>
      <c r="E34" s="2">
        <v>8</v>
      </c>
      <c r="F34" s="2">
        <v>116024</v>
      </c>
      <c r="G34" s="2">
        <v>8.85</v>
      </c>
      <c r="H34" s="2">
        <v>24984.23</v>
      </c>
      <c r="I34" s="2" t="s">
        <v>13</v>
      </c>
      <c r="J34" s="2" t="s">
        <v>14</v>
      </c>
      <c r="L34" s="10" t="s">
        <v>51</v>
      </c>
      <c r="T34" s="10" t="s">
        <v>51</v>
      </c>
      <c r="U34" s="5">
        <f>_xlfn.MINIFS(H:H,B:B,"west")</f>
        <v>3086.64</v>
      </c>
      <c r="V34" s="5"/>
      <c r="W34" s="5"/>
      <c r="X34" s="5"/>
      <c r="Y34" s="5"/>
      <c r="Z34" s="5"/>
    </row>
    <row r="35" spans="1:26" x14ac:dyDescent="0.25">
      <c r="A35" s="3">
        <v>45325</v>
      </c>
      <c r="B35" s="2" t="s">
        <v>15</v>
      </c>
      <c r="C35" s="2" t="s">
        <v>23</v>
      </c>
      <c r="D35" s="2" t="s">
        <v>12</v>
      </c>
      <c r="E35" s="2">
        <v>10</v>
      </c>
      <c r="F35" s="2">
        <v>134660</v>
      </c>
      <c r="G35" s="2">
        <v>9.83</v>
      </c>
      <c r="H35" s="2">
        <v>28810.14</v>
      </c>
      <c r="I35" s="2" t="s">
        <v>13</v>
      </c>
      <c r="J35" s="2" t="s">
        <v>14</v>
      </c>
      <c r="L35" s="10" t="s">
        <v>52</v>
      </c>
      <c r="T35" s="10" t="s">
        <v>52</v>
      </c>
      <c r="U35" s="5">
        <f>_xlfn.MINIFS(E:E,C:C,"Sita",I:I,"Accessories")</f>
        <v>2</v>
      </c>
      <c r="V35" s="5"/>
      <c r="W35" s="5"/>
      <c r="X35" s="5"/>
      <c r="Y35" s="5"/>
      <c r="Z35" s="5"/>
    </row>
    <row r="36" spans="1:26" x14ac:dyDescent="0.25">
      <c r="A36" s="3">
        <v>45326</v>
      </c>
      <c r="B36" s="2" t="s">
        <v>15</v>
      </c>
      <c r="C36" s="2" t="s">
        <v>16</v>
      </c>
      <c r="D36" s="2" t="s">
        <v>12</v>
      </c>
      <c r="E36" s="2">
        <v>5</v>
      </c>
      <c r="F36" s="2">
        <v>66340</v>
      </c>
      <c r="G36" s="2">
        <v>7.37</v>
      </c>
      <c r="H36" s="2">
        <v>15124.67</v>
      </c>
      <c r="I36" s="2" t="s">
        <v>13</v>
      </c>
      <c r="J36" s="2" t="s">
        <v>21</v>
      </c>
      <c r="L36" s="10" t="s">
        <v>53</v>
      </c>
      <c r="T36" s="10" t="s">
        <v>53</v>
      </c>
      <c r="U36" s="5">
        <f>_xlfn.MINIFS(F:F,D:D,"Tablet",J:J,"Wholesale")</f>
        <v>11435</v>
      </c>
      <c r="V36" s="5"/>
      <c r="W36" s="5"/>
      <c r="X36" s="5"/>
      <c r="Y36" s="5"/>
      <c r="Z36" s="5"/>
    </row>
    <row r="37" spans="1:26" x14ac:dyDescent="0.25">
      <c r="A37" s="3">
        <v>45327</v>
      </c>
      <c r="B37" s="2" t="s">
        <v>22</v>
      </c>
      <c r="C37" s="2" t="s">
        <v>18</v>
      </c>
      <c r="D37" s="2" t="s">
        <v>12</v>
      </c>
      <c r="E37" s="2">
        <v>8</v>
      </c>
      <c r="F37" s="2">
        <v>87928</v>
      </c>
      <c r="G37" s="2">
        <v>10.72</v>
      </c>
      <c r="H37" s="2">
        <v>22145.03</v>
      </c>
      <c r="I37" s="2" t="s">
        <v>17</v>
      </c>
      <c r="J37" s="2" t="s">
        <v>14</v>
      </c>
      <c r="L37" s="10" t="s">
        <v>54</v>
      </c>
      <c r="T37" s="10" t="s">
        <v>54</v>
      </c>
      <c r="U37" s="5">
        <f>_xlfn.MINIFS(G:G,I:I,"Electronics")</f>
        <v>5.03</v>
      </c>
      <c r="V37" s="5"/>
      <c r="W37" s="5"/>
      <c r="X37" s="5"/>
      <c r="Y37" s="5"/>
      <c r="Z37" s="5"/>
    </row>
    <row r="38" spans="1:26" x14ac:dyDescent="0.25">
      <c r="A38" s="3">
        <v>45328</v>
      </c>
      <c r="B38" s="2" t="s">
        <v>15</v>
      </c>
      <c r="C38" s="2" t="s">
        <v>16</v>
      </c>
      <c r="D38" s="2" t="s">
        <v>19</v>
      </c>
      <c r="E38" s="2">
        <v>6</v>
      </c>
      <c r="F38" s="2">
        <v>272064</v>
      </c>
      <c r="G38" s="2">
        <v>10.75</v>
      </c>
      <c r="H38" s="2">
        <v>69492.47</v>
      </c>
      <c r="I38" s="2" t="s">
        <v>17</v>
      </c>
      <c r="J38" s="2" t="s">
        <v>14</v>
      </c>
      <c r="L38" s="10" t="s">
        <v>55</v>
      </c>
      <c r="T38" s="10" t="s">
        <v>55</v>
      </c>
      <c r="U38" s="5">
        <f>_xlfn.MINIFS(H:H,C:C,"John",I:I,"Gadgets",A:A,"&gt;=01-03-2024",A:A,"&lt;=31-03-2024")</f>
        <v>21194.83</v>
      </c>
      <c r="V38" s="5"/>
      <c r="W38" s="5"/>
      <c r="X38" s="5"/>
      <c r="Y38" s="5"/>
      <c r="Z38" s="5"/>
    </row>
    <row r="39" spans="1:26" x14ac:dyDescent="0.25">
      <c r="A39" s="3">
        <v>45329</v>
      </c>
      <c r="B39" s="2" t="s">
        <v>15</v>
      </c>
      <c r="C39" s="2" t="s">
        <v>16</v>
      </c>
      <c r="D39" s="2" t="s">
        <v>19</v>
      </c>
      <c r="E39" s="2">
        <v>2</v>
      </c>
      <c r="F39" s="2">
        <v>91928</v>
      </c>
      <c r="G39" s="2">
        <v>14.93</v>
      </c>
      <c r="H39" s="2">
        <v>29406.47</v>
      </c>
      <c r="I39" s="2" t="s">
        <v>17</v>
      </c>
      <c r="J39" s="2" t="s">
        <v>21</v>
      </c>
      <c r="L39" s="5"/>
    </row>
    <row r="40" spans="1:26" x14ac:dyDescent="0.25">
      <c r="A40" s="3">
        <v>45330</v>
      </c>
      <c r="B40" s="2" t="s">
        <v>15</v>
      </c>
      <c r="C40" s="2" t="s">
        <v>11</v>
      </c>
      <c r="D40" s="2" t="s">
        <v>19</v>
      </c>
      <c r="E40" s="2">
        <v>6</v>
      </c>
      <c r="F40" s="2">
        <v>276960</v>
      </c>
      <c r="G40" s="2">
        <v>7.95</v>
      </c>
      <c r="H40" s="2">
        <v>81084.37</v>
      </c>
      <c r="I40" s="2" t="s">
        <v>20</v>
      </c>
      <c r="J40" s="2" t="s">
        <v>21</v>
      </c>
    </row>
    <row r="41" spans="1:26" x14ac:dyDescent="0.25">
      <c r="A41" s="3">
        <v>45331</v>
      </c>
      <c r="B41" s="2" t="s">
        <v>15</v>
      </c>
      <c r="C41" s="2" t="s">
        <v>23</v>
      </c>
      <c r="D41" s="2" t="s">
        <v>12</v>
      </c>
      <c r="E41" s="2">
        <v>8</v>
      </c>
      <c r="F41" s="2">
        <v>94040</v>
      </c>
      <c r="G41" s="2">
        <v>14.78</v>
      </c>
      <c r="H41" s="2">
        <v>29683.27</v>
      </c>
      <c r="I41" s="2" t="s">
        <v>13</v>
      </c>
      <c r="J41" s="2" t="s">
        <v>14</v>
      </c>
    </row>
    <row r="42" spans="1:26" x14ac:dyDescent="0.25">
      <c r="A42" s="3">
        <v>45332</v>
      </c>
      <c r="B42" s="2" t="s">
        <v>15</v>
      </c>
      <c r="C42" s="2" t="s">
        <v>18</v>
      </c>
      <c r="D42" s="2" t="s">
        <v>19</v>
      </c>
      <c r="E42" s="2">
        <v>8</v>
      </c>
      <c r="F42" s="2">
        <v>413352</v>
      </c>
      <c r="G42" s="2">
        <v>11.58</v>
      </c>
      <c r="H42" s="2">
        <v>102769.81</v>
      </c>
      <c r="I42" s="2" t="s">
        <v>20</v>
      </c>
      <c r="J42" s="2" t="s">
        <v>21</v>
      </c>
    </row>
    <row r="43" spans="1:26" x14ac:dyDescent="0.25">
      <c r="A43" s="3">
        <v>45333</v>
      </c>
      <c r="B43" s="2" t="s">
        <v>15</v>
      </c>
      <c r="C43" s="2" t="s">
        <v>11</v>
      </c>
      <c r="D43" s="2" t="s">
        <v>19</v>
      </c>
      <c r="E43" s="2">
        <v>7</v>
      </c>
      <c r="F43" s="2">
        <v>355628</v>
      </c>
      <c r="G43" s="2">
        <v>7.74</v>
      </c>
      <c r="H43" s="2">
        <v>72640.429999999993</v>
      </c>
      <c r="I43" s="2" t="s">
        <v>17</v>
      </c>
      <c r="J43" s="2" t="s">
        <v>21</v>
      </c>
    </row>
    <row r="44" spans="1:26" x14ac:dyDescent="0.25">
      <c r="A44" s="3">
        <v>45334</v>
      </c>
      <c r="B44" s="2" t="s">
        <v>24</v>
      </c>
      <c r="C44" s="2" t="s">
        <v>18</v>
      </c>
      <c r="D44" s="2" t="s">
        <v>25</v>
      </c>
      <c r="E44" s="2">
        <v>1</v>
      </c>
      <c r="F44" s="2">
        <v>17516</v>
      </c>
      <c r="G44" s="2">
        <v>10.66</v>
      </c>
      <c r="H44" s="2">
        <v>3741.61</v>
      </c>
      <c r="I44" s="2" t="s">
        <v>17</v>
      </c>
      <c r="J44" s="2" t="s">
        <v>14</v>
      </c>
    </row>
    <row r="45" spans="1:26" x14ac:dyDescent="0.25">
      <c r="A45" s="3">
        <v>45335</v>
      </c>
      <c r="B45" s="2" t="s">
        <v>10</v>
      </c>
      <c r="C45" s="2" t="s">
        <v>11</v>
      </c>
      <c r="D45" s="2" t="s">
        <v>25</v>
      </c>
      <c r="E45" s="2">
        <v>6</v>
      </c>
      <c r="F45" s="2">
        <v>77370</v>
      </c>
      <c r="G45" s="2">
        <v>11.86</v>
      </c>
      <c r="H45" s="2">
        <v>18847.439999999999</v>
      </c>
      <c r="I45" s="2" t="s">
        <v>20</v>
      </c>
      <c r="J45" s="2" t="s">
        <v>14</v>
      </c>
    </row>
    <row r="46" spans="1:26" x14ac:dyDescent="0.25">
      <c r="A46" s="3">
        <v>45336</v>
      </c>
      <c r="B46" s="2" t="s">
        <v>15</v>
      </c>
      <c r="C46" s="2" t="s">
        <v>16</v>
      </c>
      <c r="D46" s="2" t="s">
        <v>19</v>
      </c>
      <c r="E46" s="2">
        <v>9</v>
      </c>
      <c r="F46" s="2">
        <v>471150</v>
      </c>
      <c r="G46" s="2">
        <v>12.45</v>
      </c>
      <c r="H46" s="2">
        <v>101848.69</v>
      </c>
      <c r="I46" s="2" t="s">
        <v>13</v>
      </c>
      <c r="J46" s="2" t="s">
        <v>14</v>
      </c>
    </row>
    <row r="47" spans="1:26" x14ac:dyDescent="0.25">
      <c r="A47" s="3">
        <v>45337</v>
      </c>
      <c r="B47" s="2" t="s">
        <v>15</v>
      </c>
      <c r="C47" s="2" t="s">
        <v>18</v>
      </c>
      <c r="D47" s="2" t="s">
        <v>19</v>
      </c>
      <c r="E47" s="2">
        <v>5</v>
      </c>
      <c r="F47" s="2">
        <v>262895</v>
      </c>
      <c r="G47" s="2">
        <v>5.49</v>
      </c>
      <c r="H47" s="2">
        <v>54172.56</v>
      </c>
      <c r="I47" s="2" t="s">
        <v>13</v>
      </c>
      <c r="J47" s="2" t="s">
        <v>21</v>
      </c>
    </row>
    <row r="48" spans="1:26" x14ac:dyDescent="0.25">
      <c r="A48" s="3">
        <v>45338</v>
      </c>
      <c r="B48" s="2" t="s">
        <v>15</v>
      </c>
      <c r="C48" s="2" t="s">
        <v>11</v>
      </c>
      <c r="D48" s="2" t="s">
        <v>25</v>
      </c>
      <c r="E48" s="2">
        <v>9</v>
      </c>
      <c r="F48" s="2">
        <v>115218</v>
      </c>
      <c r="G48" s="2">
        <v>11.06</v>
      </c>
      <c r="H48" s="2">
        <v>32960.36</v>
      </c>
      <c r="I48" s="2" t="s">
        <v>17</v>
      </c>
      <c r="J48" s="2" t="s">
        <v>14</v>
      </c>
    </row>
    <row r="49" spans="1:10" x14ac:dyDescent="0.25">
      <c r="A49" s="3">
        <v>45339</v>
      </c>
      <c r="B49" s="2" t="s">
        <v>10</v>
      </c>
      <c r="C49" s="2" t="s">
        <v>11</v>
      </c>
      <c r="D49" s="2" t="s">
        <v>19</v>
      </c>
      <c r="E49" s="2">
        <v>4</v>
      </c>
      <c r="F49" s="2">
        <v>190896</v>
      </c>
      <c r="G49" s="2">
        <v>9.9700000000000006</v>
      </c>
      <c r="H49" s="2">
        <v>47095.41</v>
      </c>
      <c r="I49" s="2" t="s">
        <v>17</v>
      </c>
      <c r="J49" s="2" t="s">
        <v>21</v>
      </c>
    </row>
    <row r="50" spans="1:10" x14ac:dyDescent="0.25">
      <c r="A50" s="3">
        <v>45340</v>
      </c>
      <c r="B50" s="2" t="s">
        <v>24</v>
      </c>
      <c r="C50" s="2" t="s">
        <v>18</v>
      </c>
      <c r="D50" s="2" t="s">
        <v>25</v>
      </c>
      <c r="E50" s="2">
        <v>4</v>
      </c>
      <c r="F50" s="2">
        <v>61140</v>
      </c>
      <c r="G50" s="2">
        <v>14.04</v>
      </c>
      <c r="H50" s="2">
        <v>20046.68</v>
      </c>
      <c r="I50" s="2" t="s">
        <v>17</v>
      </c>
      <c r="J50" s="2" t="s">
        <v>14</v>
      </c>
    </row>
    <row r="51" spans="1:10" x14ac:dyDescent="0.25">
      <c r="A51" s="3">
        <v>45341</v>
      </c>
      <c r="B51" s="2" t="s">
        <v>10</v>
      </c>
      <c r="C51" s="2" t="s">
        <v>16</v>
      </c>
      <c r="D51" s="2" t="s">
        <v>25</v>
      </c>
      <c r="E51" s="2">
        <v>1</v>
      </c>
      <c r="F51" s="2">
        <v>15198</v>
      </c>
      <c r="G51" s="2">
        <v>7.86</v>
      </c>
      <c r="H51" s="2">
        <v>3316.19</v>
      </c>
      <c r="I51" s="2" t="s">
        <v>13</v>
      </c>
      <c r="J51" s="2" t="s">
        <v>14</v>
      </c>
    </row>
    <row r="52" spans="1:10" x14ac:dyDescent="0.25">
      <c r="A52" s="3">
        <v>45342</v>
      </c>
      <c r="B52" s="2" t="s">
        <v>22</v>
      </c>
      <c r="C52" s="2" t="s">
        <v>18</v>
      </c>
      <c r="D52" s="2" t="s">
        <v>25</v>
      </c>
      <c r="E52" s="2">
        <v>7</v>
      </c>
      <c r="F52" s="2">
        <v>123942</v>
      </c>
      <c r="G52" s="2">
        <v>12.99</v>
      </c>
      <c r="H52" s="2">
        <v>39431.74</v>
      </c>
      <c r="I52" s="2" t="s">
        <v>20</v>
      </c>
      <c r="J52" s="2" t="s">
        <v>14</v>
      </c>
    </row>
    <row r="53" spans="1:10" x14ac:dyDescent="0.25">
      <c r="A53" s="3">
        <v>45343</v>
      </c>
      <c r="B53" s="2" t="s">
        <v>24</v>
      </c>
      <c r="C53" s="2" t="s">
        <v>16</v>
      </c>
      <c r="D53" s="2" t="s">
        <v>19</v>
      </c>
      <c r="E53" s="2">
        <v>5</v>
      </c>
      <c r="F53" s="2">
        <v>242830</v>
      </c>
      <c r="G53" s="2">
        <v>11.07</v>
      </c>
      <c r="H53" s="2">
        <v>77364.23</v>
      </c>
      <c r="I53" s="2" t="s">
        <v>17</v>
      </c>
      <c r="J53" s="2" t="s">
        <v>14</v>
      </c>
    </row>
    <row r="54" spans="1:10" x14ac:dyDescent="0.25">
      <c r="A54" s="3">
        <v>45344</v>
      </c>
      <c r="B54" s="2" t="s">
        <v>10</v>
      </c>
      <c r="C54" s="2" t="s">
        <v>11</v>
      </c>
      <c r="D54" s="2" t="s">
        <v>12</v>
      </c>
      <c r="E54" s="2">
        <v>6</v>
      </c>
      <c r="F54" s="2">
        <v>62808</v>
      </c>
      <c r="G54" s="2">
        <v>8.52</v>
      </c>
      <c r="H54" s="2">
        <v>12431.34</v>
      </c>
      <c r="I54" s="2" t="s">
        <v>17</v>
      </c>
      <c r="J54" s="2" t="s">
        <v>21</v>
      </c>
    </row>
    <row r="55" spans="1:10" x14ac:dyDescent="0.25">
      <c r="A55" s="3">
        <v>45345</v>
      </c>
      <c r="B55" s="2" t="s">
        <v>10</v>
      </c>
      <c r="C55" s="2" t="s">
        <v>18</v>
      </c>
      <c r="D55" s="2" t="s">
        <v>12</v>
      </c>
      <c r="E55" s="2">
        <v>9</v>
      </c>
      <c r="F55" s="2">
        <v>101601</v>
      </c>
      <c r="G55" s="2">
        <v>11.37</v>
      </c>
      <c r="H55" s="2">
        <v>29096.38</v>
      </c>
      <c r="I55" s="2" t="s">
        <v>20</v>
      </c>
      <c r="J55" s="2" t="s">
        <v>21</v>
      </c>
    </row>
    <row r="56" spans="1:10" x14ac:dyDescent="0.25">
      <c r="A56" s="3">
        <v>45346</v>
      </c>
      <c r="B56" s="2" t="s">
        <v>10</v>
      </c>
      <c r="C56" s="2" t="s">
        <v>11</v>
      </c>
      <c r="D56" s="2" t="s">
        <v>19</v>
      </c>
      <c r="E56" s="2">
        <v>2</v>
      </c>
      <c r="F56" s="2">
        <v>109498</v>
      </c>
      <c r="G56" s="2">
        <v>11.21</v>
      </c>
      <c r="H56" s="2">
        <v>25458.06</v>
      </c>
      <c r="I56" s="2" t="s">
        <v>13</v>
      </c>
      <c r="J56" s="2" t="s">
        <v>21</v>
      </c>
    </row>
    <row r="57" spans="1:10" x14ac:dyDescent="0.25">
      <c r="A57" s="3">
        <v>45347</v>
      </c>
      <c r="B57" s="2" t="s">
        <v>10</v>
      </c>
      <c r="C57" s="2" t="s">
        <v>16</v>
      </c>
      <c r="D57" s="2" t="s">
        <v>25</v>
      </c>
      <c r="E57" s="2">
        <v>2</v>
      </c>
      <c r="F57" s="2">
        <v>33332</v>
      </c>
      <c r="G57" s="2">
        <v>11.78</v>
      </c>
      <c r="H57" s="2">
        <v>8744.9699999999993</v>
      </c>
      <c r="I57" s="2" t="s">
        <v>17</v>
      </c>
      <c r="J57" s="2" t="s">
        <v>21</v>
      </c>
    </row>
    <row r="58" spans="1:10" x14ac:dyDescent="0.25">
      <c r="A58" s="3">
        <v>45348</v>
      </c>
      <c r="B58" s="2" t="s">
        <v>15</v>
      </c>
      <c r="C58" s="2" t="s">
        <v>11</v>
      </c>
      <c r="D58" s="2" t="s">
        <v>12</v>
      </c>
      <c r="E58" s="2">
        <v>2</v>
      </c>
      <c r="F58" s="2">
        <v>26868</v>
      </c>
      <c r="G58" s="2">
        <v>12.21</v>
      </c>
      <c r="H58" s="2">
        <v>6321.23</v>
      </c>
      <c r="I58" s="2" t="s">
        <v>13</v>
      </c>
      <c r="J58" s="2" t="s">
        <v>21</v>
      </c>
    </row>
    <row r="59" spans="1:10" x14ac:dyDescent="0.25">
      <c r="A59" s="3">
        <v>45349</v>
      </c>
      <c r="B59" s="2" t="s">
        <v>22</v>
      </c>
      <c r="C59" s="2" t="s">
        <v>23</v>
      </c>
      <c r="D59" s="2" t="s">
        <v>19</v>
      </c>
      <c r="E59" s="2">
        <v>6</v>
      </c>
      <c r="F59" s="2">
        <v>293460</v>
      </c>
      <c r="G59" s="2">
        <v>11.59</v>
      </c>
      <c r="H59" s="2">
        <v>65987.61</v>
      </c>
      <c r="I59" s="2" t="s">
        <v>17</v>
      </c>
      <c r="J59" s="2" t="s">
        <v>14</v>
      </c>
    </row>
    <row r="60" spans="1:10" x14ac:dyDescent="0.25">
      <c r="A60" s="3">
        <v>45350</v>
      </c>
      <c r="B60" s="2" t="s">
        <v>22</v>
      </c>
      <c r="C60" s="2" t="s">
        <v>18</v>
      </c>
      <c r="D60" s="2" t="s">
        <v>19</v>
      </c>
      <c r="E60" s="2">
        <v>5</v>
      </c>
      <c r="F60" s="2">
        <v>262455</v>
      </c>
      <c r="G60" s="2">
        <v>13.38</v>
      </c>
      <c r="H60" s="2">
        <v>58726.239999999998</v>
      </c>
      <c r="I60" s="2" t="s">
        <v>13</v>
      </c>
      <c r="J60" s="2" t="s">
        <v>14</v>
      </c>
    </row>
    <row r="61" spans="1:10" x14ac:dyDescent="0.25">
      <c r="A61" s="3">
        <v>45351</v>
      </c>
      <c r="B61" s="2" t="s">
        <v>22</v>
      </c>
      <c r="C61" s="2" t="s">
        <v>11</v>
      </c>
      <c r="D61" s="2" t="s">
        <v>19</v>
      </c>
      <c r="E61" s="2">
        <v>8</v>
      </c>
      <c r="F61" s="2">
        <v>433792</v>
      </c>
      <c r="G61" s="2">
        <v>11.28</v>
      </c>
      <c r="H61" s="2">
        <v>97909.2</v>
      </c>
      <c r="I61" s="2" t="s">
        <v>20</v>
      </c>
      <c r="J61" s="2" t="s">
        <v>21</v>
      </c>
    </row>
    <row r="62" spans="1:10" x14ac:dyDescent="0.25">
      <c r="A62" s="3">
        <v>45352</v>
      </c>
      <c r="B62" s="2" t="s">
        <v>10</v>
      </c>
      <c r="C62" s="2" t="s">
        <v>11</v>
      </c>
      <c r="D62" s="2" t="s">
        <v>12</v>
      </c>
      <c r="E62" s="2">
        <v>4</v>
      </c>
      <c r="F62" s="2">
        <v>56576</v>
      </c>
      <c r="G62" s="2">
        <v>14.03</v>
      </c>
      <c r="H62" s="2">
        <v>15622.65</v>
      </c>
      <c r="I62" s="2" t="s">
        <v>17</v>
      </c>
      <c r="J62" s="2" t="s">
        <v>21</v>
      </c>
    </row>
    <row r="63" spans="1:10" x14ac:dyDescent="0.25">
      <c r="A63" s="3">
        <v>45353</v>
      </c>
      <c r="B63" s="2" t="s">
        <v>22</v>
      </c>
      <c r="C63" s="2" t="s">
        <v>16</v>
      </c>
      <c r="D63" s="2" t="s">
        <v>25</v>
      </c>
      <c r="E63" s="2">
        <v>2</v>
      </c>
      <c r="F63" s="2">
        <v>28002</v>
      </c>
      <c r="G63" s="2">
        <v>11.46</v>
      </c>
      <c r="H63" s="2">
        <v>7017.92</v>
      </c>
      <c r="I63" s="2" t="s">
        <v>17</v>
      </c>
      <c r="J63" s="2" t="s">
        <v>14</v>
      </c>
    </row>
    <row r="64" spans="1:10" x14ac:dyDescent="0.25">
      <c r="A64" s="3">
        <v>45354</v>
      </c>
      <c r="B64" s="2" t="s">
        <v>22</v>
      </c>
      <c r="C64" s="2" t="s">
        <v>23</v>
      </c>
      <c r="D64" s="2" t="s">
        <v>19</v>
      </c>
      <c r="E64" s="2">
        <v>8</v>
      </c>
      <c r="F64" s="2">
        <v>431200</v>
      </c>
      <c r="G64" s="2">
        <v>8.09</v>
      </c>
      <c r="H64" s="2">
        <v>132400.16</v>
      </c>
      <c r="I64" s="2" t="s">
        <v>17</v>
      </c>
      <c r="J64" s="2" t="s">
        <v>21</v>
      </c>
    </row>
    <row r="65" spans="1:10" x14ac:dyDescent="0.25">
      <c r="A65" s="3">
        <v>45355</v>
      </c>
      <c r="B65" s="2" t="s">
        <v>22</v>
      </c>
      <c r="C65" s="2" t="s">
        <v>11</v>
      </c>
      <c r="D65" s="2" t="s">
        <v>12</v>
      </c>
      <c r="E65" s="2">
        <v>9</v>
      </c>
      <c r="F65" s="2">
        <v>112068</v>
      </c>
      <c r="G65" s="2">
        <v>9.41</v>
      </c>
      <c r="H65" s="2">
        <v>21776.01</v>
      </c>
      <c r="I65" s="2" t="s">
        <v>17</v>
      </c>
      <c r="J65" s="2" t="s">
        <v>21</v>
      </c>
    </row>
    <row r="66" spans="1:10" x14ac:dyDescent="0.25">
      <c r="A66" s="3">
        <v>45356</v>
      </c>
      <c r="B66" s="2" t="s">
        <v>10</v>
      </c>
      <c r="C66" s="2" t="s">
        <v>16</v>
      </c>
      <c r="D66" s="2" t="s">
        <v>25</v>
      </c>
      <c r="E66" s="2">
        <v>2</v>
      </c>
      <c r="F66" s="2">
        <v>25752</v>
      </c>
      <c r="G66" s="2">
        <v>10.8</v>
      </c>
      <c r="H66" s="2">
        <v>5664.95</v>
      </c>
      <c r="I66" s="2" t="s">
        <v>17</v>
      </c>
      <c r="J66" s="2" t="s">
        <v>14</v>
      </c>
    </row>
    <row r="67" spans="1:10" x14ac:dyDescent="0.25">
      <c r="A67" s="3">
        <v>45357</v>
      </c>
      <c r="B67" s="2" t="s">
        <v>15</v>
      </c>
      <c r="C67" s="2" t="s">
        <v>23</v>
      </c>
      <c r="D67" s="2" t="s">
        <v>25</v>
      </c>
      <c r="E67" s="2">
        <v>10</v>
      </c>
      <c r="F67" s="2">
        <v>137250</v>
      </c>
      <c r="G67" s="2">
        <v>12.32</v>
      </c>
      <c r="H67" s="2">
        <v>42170.57</v>
      </c>
      <c r="I67" s="2" t="s">
        <v>20</v>
      </c>
      <c r="J67" s="2" t="s">
        <v>21</v>
      </c>
    </row>
    <row r="68" spans="1:10" x14ac:dyDescent="0.25">
      <c r="A68" s="3">
        <v>45358</v>
      </c>
      <c r="B68" s="2" t="s">
        <v>22</v>
      </c>
      <c r="C68" s="2" t="s">
        <v>16</v>
      </c>
      <c r="D68" s="2" t="s">
        <v>12</v>
      </c>
      <c r="E68" s="2">
        <v>5</v>
      </c>
      <c r="F68" s="2">
        <v>70700</v>
      </c>
      <c r="G68" s="2">
        <v>5.9</v>
      </c>
      <c r="H68" s="2">
        <v>19003.78</v>
      </c>
      <c r="I68" s="2" t="s">
        <v>17</v>
      </c>
      <c r="J68" s="2" t="s">
        <v>21</v>
      </c>
    </row>
    <row r="69" spans="1:10" x14ac:dyDescent="0.25">
      <c r="A69" s="3">
        <v>45359</v>
      </c>
      <c r="B69" s="2" t="s">
        <v>24</v>
      </c>
      <c r="C69" s="2" t="s">
        <v>23</v>
      </c>
      <c r="D69" s="2" t="s">
        <v>19</v>
      </c>
      <c r="E69" s="2">
        <v>2</v>
      </c>
      <c r="F69" s="2">
        <v>103878</v>
      </c>
      <c r="G69" s="2">
        <v>7.95</v>
      </c>
      <c r="H69" s="2">
        <v>22085.43</v>
      </c>
      <c r="I69" s="2" t="s">
        <v>17</v>
      </c>
      <c r="J69" s="2" t="s">
        <v>21</v>
      </c>
    </row>
    <row r="70" spans="1:10" x14ac:dyDescent="0.25">
      <c r="A70" s="3">
        <v>45360</v>
      </c>
      <c r="B70" s="2" t="s">
        <v>22</v>
      </c>
      <c r="C70" s="2" t="s">
        <v>11</v>
      </c>
      <c r="D70" s="2" t="s">
        <v>19</v>
      </c>
      <c r="E70" s="2">
        <v>6</v>
      </c>
      <c r="F70" s="2">
        <v>282858</v>
      </c>
      <c r="G70" s="2">
        <v>12.47</v>
      </c>
      <c r="H70" s="2">
        <v>85704.6</v>
      </c>
      <c r="I70" s="2" t="s">
        <v>13</v>
      </c>
      <c r="J70" s="2" t="s">
        <v>21</v>
      </c>
    </row>
    <row r="71" spans="1:10" x14ac:dyDescent="0.25">
      <c r="A71" s="3">
        <v>45361</v>
      </c>
      <c r="B71" s="2" t="s">
        <v>22</v>
      </c>
      <c r="C71" s="2" t="s">
        <v>16</v>
      </c>
      <c r="D71" s="2" t="s">
        <v>12</v>
      </c>
      <c r="E71" s="2">
        <v>8</v>
      </c>
      <c r="F71" s="2">
        <v>116152</v>
      </c>
      <c r="G71" s="2">
        <v>6.76</v>
      </c>
      <c r="H71" s="2">
        <v>29403.1</v>
      </c>
      <c r="I71" s="2" t="s">
        <v>17</v>
      </c>
      <c r="J71" s="2" t="s">
        <v>21</v>
      </c>
    </row>
    <row r="72" spans="1:10" x14ac:dyDescent="0.25">
      <c r="A72" s="3">
        <v>45362</v>
      </c>
      <c r="B72" s="2" t="s">
        <v>24</v>
      </c>
      <c r="C72" s="2" t="s">
        <v>11</v>
      </c>
      <c r="D72" s="2" t="s">
        <v>19</v>
      </c>
      <c r="E72" s="2">
        <v>2</v>
      </c>
      <c r="F72" s="2">
        <v>94884</v>
      </c>
      <c r="G72" s="2">
        <v>6.32</v>
      </c>
      <c r="H72" s="2">
        <v>28138.23</v>
      </c>
      <c r="I72" s="2" t="s">
        <v>13</v>
      </c>
      <c r="J72" s="2" t="s">
        <v>21</v>
      </c>
    </row>
    <row r="73" spans="1:10" x14ac:dyDescent="0.25">
      <c r="A73" s="3">
        <v>45363</v>
      </c>
      <c r="B73" s="2" t="s">
        <v>10</v>
      </c>
      <c r="C73" s="2" t="s">
        <v>23</v>
      </c>
      <c r="D73" s="2" t="s">
        <v>12</v>
      </c>
      <c r="E73" s="2">
        <v>9</v>
      </c>
      <c r="F73" s="2">
        <v>100917</v>
      </c>
      <c r="G73" s="2">
        <v>10.39</v>
      </c>
      <c r="H73" s="2">
        <v>21297.35</v>
      </c>
      <c r="I73" s="2" t="s">
        <v>20</v>
      </c>
      <c r="J73" s="2" t="s">
        <v>14</v>
      </c>
    </row>
    <row r="74" spans="1:10" x14ac:dyDescent="0.25">
      <c r="A74" s="3">
        <v>45364</v>
      </c>
      <c r="B74" s="2" t="s">
        <v>24</v>
      </c>
      <c r="C74" s="2" t="s">
        <v>16</v>
      </c>
      <c r="D74" s="2" t="s">
        <v>19</v>
      </c>
      <c r="E74" s="2">
        <v>5</v>
      </c>
      <c r="F74" s="2">
        <v>254870</v>
      </c>
      <c r="G74" s="2">
        <v>14.71</v>
      </c>
      <c r="H74" s="2">
        <v>73380.539999999994</v>
      </c>
      <c r="I74" s="2" t="s">
        <v>13</v>
      </c>
      <c r="J74" s="2" t="s">
        <v>21</v>
      </c>
    </row>
    <row r="75" spans="1:10" x14ac:dyDescent="0.25">
      <c r="A75" s="3">
        <v>45365</v>
      </c>
      <c r="B75" s="2" t="s">
        <v>10</v>
      </c>
      <c r="C75" s="2" t="s">
        <v>23</v>
      </c>
      <c r="D75" s="2" t="s">
        <v>19</v>
      </c>
      <c r="E75" s="2">
        <v>4</v>
      </c>
      <c r="F75" s="2">
        <v>186736</v>
      </c>
      <c r="G75" s="2">
        <v>10.31</v>
      </c>
      <c r="H75" s="2">
        <v>51052.41</v>
      </c>
      <c r="I75" s="2" t="s">
        <v>13</v>
      </c>
      <c r="J75" s="2" t="s">
        <v>21</v>
      </c>
    </row>
    <row r="76" spans="1:10" x14ac:dyDescent="0.25">
      <c r="A76" s="3">
        <v>45366</v>
      </c>
      <c r="B76" s="2" t="s">
        <v>22</v>
      </c>
      <c r="C76" s="2" t="s">
        <v>18</v>
      </c>
      <c r="D76" s="2" t="s">
        <v>12</v>
      </c>
      <c r="E76" s="2">
        <v>3</v>
      </c>
      <c r="F76" s="2">
        <v>35817</v>
      </c>
      <c r="G76" s="2">
        <v>14.13</v>
      </c>
      <c r="H76" s="2">
        <v>12096.78</v>
      </c>
      <c r="I76" s="2" t="s">
        <v>20</v>
      </c>
      <c r="J76" s="2" t="s">
        <v>21</v>
      </c>
    </row>
    <row r="77" spans="1:10" x14ac:dyDescent="0.25">
      <c r="A77" s="3">
        <v>45367</v>
      </c>
      <c r="B77" s="2" t="s">
        <v>15</v>
      </c>
      <c r="C77" s="2" t="s">
        <v>16</v>
      </c>
      <c r="D77" s="2" t="s">
        <v>25</v>
      </c>
      <c r="E77" s="2">
        <v>1</v>
      </c>
      <c r="F77" s="2">
        <v>13469</v>
      </c>
      <c r="G77" s="2">
        <v>13.3</v>
      </c>
      <c r="H77" s="2">
        <v>3602.23</v>
      </c>
      <c r="I77" s="2" t="s">
        <v>20</v>
      </c>
      <c r="J77" s="2" t="s">
        <v>21</v>
      </c>
    </row>
    <row r="78" spans="1:10" x14ac:dyDescent="0.25">
      <c r="A78" s="3">
        <v>45368</v>
      </c>
      <c r="B78" s="2" t="s">
        <v>22</v>
      </c>
      <c r="C78" s="2" t="s">
        <v>18</v>
      </c>
      <c r="D78" s="2" t="s">
        <v>12</v>
      </c>
      <c r="E78" s="2">
        <v>4</v>
      </c>
      <c r="F78" s="2">
        <v>48740</v>
      </c>
      <c r="G78" s="2">
        <v>7.57</v>
      </c>
      <c r="H78" s="2">
        <v>14744.94</v>
      </c>
      <c r="I78" s="2" t="s">
        <v>13</v>
      </c>
      <c r="J78" s="2" t="s">
        <v>14</v>
      </c>
    </row>
    <row r="79" spans="1:10" x14ac:dyDescent="0.25">
      <c r="A79" s="3">
        <v>45369</v>
      </c>
      <c r="B79" s="2" t="s">
        <v>15</v>
      </c>
      <c r="C79" s="2" t="s">
        <v>11</v>
      </c>
      <c r="D79" s="2" t="s">
        <v>25</v>
      </c>
      <c r="E79" s="2">
        <v>1</v>
      </c>
      <c r="F79" s="2">
        <v>15855</v>
      </c>
      <c r="G79" s="2">
        <v>13.25</v>
      </c>
      <c r="H79" s="2">
        <v>3999.59</v>
      </c>
      <c r="I79" s="2" t="s">
        <v>13</v>
      </c>
      <c r="J79" s="2" t="s">
        <v>21</v>
      </c>
    </row>
    <row r="80" spans="1:10" x14ac:dyDescent="0.25">
      <c r="A80" s="3">
        <v>45370</v>
      </c>
      <c r="B80" s="2" t="s">
        <v>15</v>
      </c>
      <c r="C80" s="2" t="s">
        <v>16</v>
      </c>
      <c r="D80" s="2" t="s">
        <v>25</v>
      </c>
      <c r="E80" s="2">
        <v>6</v>
      </c>
      <c r="F80" s="2">
        <v>87000</v>
      </c>
      <c r="G80" s="2">
        <v>9.82</v>
      </c>
      <c r="H80" s="2">
        <v>25624.73</v>
      </c>
      <c r="I80" s="2" t="s">
        <v>20</v>
      </c>
      <c r="J80" s="2" t="s">
        <v>14</v>
      </c>
    </row>
    <row r="81" spans="1:10" x14ac:dyDescent="0.25">
      <c r="A81" s="3">
        <v>45371</v>
      </c>
      <c r="B81" s="2" t="s">
        <v>15</v>
      </c>
      <c r="C81" s="2" t="s">
        <v>16</v>
      </c>
      <c r="D81" s="2" t="s">
        <v>19</v>
      </c>
      <c r="E81" s="2">
        <v>4</v>
      </c>
      <c r="F81" s="2">
        <v>206112</v>
      </c>
      <c r="G81" s="2">
        <v>13.06</v>
      </c>
      <c r="H81" s="2">
        <v>60440.15</v>
      </c>
      <c r="I81" s="2" t="s">
        <v>20</v>
      </c>
      <c r="J81" s="2" t="s">
        <v>21</v>
      </c>
    </row>
    <row r="82" spans="1:10" x14ac:dyDescent="0.25">
      <c r="A82" s="3">
        <v>45372</v>
      </c>
      <c r="B82" s="2" t="s">
        <v>22</v>
      </c>
      <c r="C82" s="2" t="s">
        <v>23</v>
      </c>
      <c r="D82" s="2" t="s">
        <v>19</v>
      </c>
      <c r="E82" s="2">
        <v>5</v>
      </c>
      <c r="F82" s="2">
        <v>253765</v>
      </c>
      <c r="G82" s="2">
        <v>12.47</v>
      </c>
      <c r="H82" s="2">
        <v>75807.67</v>
      </c>
      <c r="I82" s="2" t="s">
        <v>20</v>
      </c>
      <c r="J82" s="2" t="s">
        <v>14</v>
      </c>
    </row>
    <row r="83" spans="1:10" x14ac:dyDescent="0.25">
      <c r="A83" s="3">
        <v>45373</v>
      </c>
      <c r="B83" s="2" t="s">
        <v>24</v>
      </c>
      <c r="C83" s="2" t="s">
        <v>23</v>
      </c>
      <c r="D83" s="2" t="s">
        <v>19</v>
      </c>
      <c r="E83" s="2">
        <v>2</v>
      </c>
      <c r="F83" s="2">
        <v>98558</v>
      </c>
      <c r="G83" s="2">
        <v>8.39</v>
      </c>
      <c r="H83" s="2">
        <v>25827.24</v>
      </c>
      <c r="I83" s="2" t="s">
        <v>20</v>
      </c>
      <c r="J83" s="2" t="s">
        <v>21</v>
      </c>
    </row>
    <row r="84" spans="1:10" x14ac:dyDescent="0.25">
      <c r="A84" s="3">
        <v>45374</v>
      </c>
      <c r="B84" s="2" t="s">
        <v>15</v>
      </c>
      <c r="C84" s="2" t="s">
        <v>23</v>
      </c>
      <c r="D84" s="2" t="s">
        <v>19</v>
      </c>
      <c r="E84" s="2">
        <v>2</v>
      </c>
      <c r="F84" s="2">
        <v>109548</v>
      </c>
      <c r="G84" s="2">
        <v>6.15</v>
      </c>
      <c r="H84" s="2">
        <v>21313.32</v>
      </c>
      <c r="I84" s="2" t="s">
        <v>20</v>
      </c>
      <c r="J84" s="2" t="s">
        <v>21</v>
      </c>
    </row>
    <row r="85" spans="1:10" x14ac:dyDescent="0.25">
      <c r="A85" s="3">
        <v>45375</v>
      </c>
      <c r="B85" s="2" t="s">
        <v>24</v>
      </c>
      <c r="C85" s="2" t="s">
        <v>23</v>
      </c>
      <c r="D85" s="2" t="s">
        <v>12</v>
      </c>
      <c r="E85" s="2">
        <v>6</v>
      </c>
      <c r="F85" s="2">
        <v>81444</v>
      </c>
      <c r="G85" s="2">
        <v>14.63</v>
      </c>
      <c r="H85" s="2">
        <v>21194.83</v>
      </c>
      <c r="I85" s="2" t="s">
        <v>13</v>
      </c>
      <c r="J85" s="2" t="s">
        <v>14</v>
      </c>
    </row>
    <row r="86" spans="1:10" x14ac:dyDescent="0.25">
      <c r="A86" s="3">
        <v>45376</v>
      </c>
      <c r="B86" s="2" t="s">
        <v>10</v>
      </c>
      <c r="C86" s="2" t="s">
        <v>18</v>
      </c>
      <c r="D86" s="2" t="s">
        <v>12</v>
      </c>
      <c r="E86" s="2">
        <v>4</v>
      </c>
      <c r="F86" s="2">
        <v>48344</v>
      </c>
      <c r="G86" s="2">
        <v>6.41</v>
      </c>
      <c r="H86" s="2">
        <v>10557.03</v>
      </c>
      <c r="I86" s="2" t="s">
        <v>20</v>
      </c>
      <c r="J86" s="2" t="s">
        <v>14</v>
      </c>
    </row>
    <row r="87" spans="1:10" x14ac:dyDescent="0.25">
      <c r="A87" s="3">
        <v>45377</v>
      </c>
      <c r="B87" s="2" t="s">
        <v>10</v>
      </c>
      <c r="C87" s="2" t="s">
        <v>18</v>
      </c>
      <c r="D87" s="2" t="s">
        <v>19</v>
      </c>
      <c r="E87" s="2">
        <v>9</v>
      </c>
      <c r="F87" s="2">
        <v>484389</v>
      </c>
      <c r="G87" s="2">
        <v>14.67</v>
      </c>
      <c r="H87" s="2">
        <v>169106.4</v>
      </c>
      <c r="I87" s="2" t="s">
        <v>17</v>
      </c>
      <c r="J87" s="2" t="s">
        <v>21</v>
      </c>
    </row>
    <row r="88" spans="1:10" x14ac:dyDescent="0.25">
      <c r="A88" s="3">
        <v>45378</v>
      </c>
      <c r="B88" s="2" t="s">
        <v>15</v>
      </c>
      <c r="C88" s="2" t="s">
        <v>23</v>
      </c>
      <c r="D88" s="2" t="s">
        <v>25</v>
      </c>
      <c r="E88" s="2">
        <v>2</v>
      </c>
      <c r="F88" s="2">
        <v>34882</v>
      </c>
      <c r="G88" s="2">
        <v>13.6</v>
      </c>
      <c r="H88" s="2">
        <v>12041.01</v>
      </c>
      <c r="I88" s="2" t="s">
        <v>17</v>
      </c>
      <c r="J88" s="2" t="s">
        <v>21</v>
      </c>
    </row>
    <row r="89" spans="1:10" x14ac:dyDescent="0.25">
      <c r="A89" s="3">
        <v>45379</v>
      </c>
      <c r="B89" s="2" t="s">
        <v>22</v>
      </c>
      <c r="C89" s="2" t="s">
        <v>23</v>
      </c>
      <c r="D89" s="2" t="s">
        <v>12</v>
      </c>
      <c r="E89" s="2">
        <v>2</v>
      </c>
      <c r="F89" s="2">
        <v>24920</v>
      </c>
      <c r="G89" s="2">
        <v>12.24</v>
      </c>
      <c r="H89" s="2">
        <v>8001.7</v>
      </c>
      <c r="I89" s="2" t="s">
        <v>17</v>
      </c>
      <c r="J89" s="2" t="s">
        <v>21</v>
      </c>
    </row>
    <row r="90" spans="1:10" x14ac:dyDescent="0.25">
      <c r="A90" s="3">
        <v>45380</v>
      </c>
      <c r="B90" s="2" t="s">
        <v>22</v>
      </c>
      <c r="C90" s="2" t="s">
        <v>18</v>
      </c>
      <c r="D90" s="2" t="s">
        <v>25</v>
      </c>
      <c r="E90" s="2">
        <v>7</v>
      </c>
      <c r="F90" s="2">
        <v>123977</v>
      </c>
      <c r="G90" s="2">
        <v>14.8</v>
      </c>
      <c r="H90" s="2">
        <v>34965.9</v>
      </c>
      <c r="I90" s="2" t="s">
        <v>17</v>
      </c>
      <c r="J90" s="2" t="s">
        <v>21</v>
      </c>
    </row>
    <row r="91" spans="1:10" x14ac:dyDescent="0.25">
      <c r="A91" s="3">
        <v>45381</v>
      </c>
      <c r="B91" s="2" t="s">
        <v>22</v>
      </c>
      <c r="C91" s="2" t="s">
        <v>16</v>
      </c>
      <c r="D91" s="2" t="s">
        <v>19</v>
      </c>
      <c r="E91" s="2">
        <v>7</v>
      </c>
      <c r="F91" s="2">
        <v>358477</v>
      </c>
      <c r="G91" s="2">
        <v>14.67</v>
      </c>
      <c r="H91" s="2">
        <v>98145.03</v>
      </c>
      <c r="I91" s="2" t="s">
        <v>20</v>
      </c>
      <c r="J91" s="2" t="s">
        <v>21</v>
      </c>
    </row>
    <row r="92" spans="1:10" x14ac:dyDescent="0.25">
      <c r="A92" s="3">
        <v>45382</v>
      </c>
      <c r="B92" s="2" t="s">
        <v>15</v>
      </c>
      <c r="C92" s="2" t="s">
        <v>23</v>
      </c>
      <c r="D92" s="2" t="s">
        <v>25</v>
      </c>
      <c r="E92" s="2">
        <v>9</v>
      </c>
      <c r="F92" s="2">
        <v>108027</v>
      </c>
      <c r="G92" s="2">
        <v>13.05</v>
      </c>
      <c r="H92" s="2">
        <v>33742.6</v>
      </c>
      <c r="I92" s="2" t="s">
        <v>17</v>
      </c>
      <c r="J92" s="2" t="s">
        <v>14</v>
      </c>
    </row>
    <row r="93" spans="1:10" x14ac:dyDescent="0.25">
      <c r="A93" s="3">
        <v>45383</v>
      </c>
      <c r="B93" s="2" t="s">
        <v>22</v>
      </c>
      <c r="C93" s="2" t="s">
        <v>23</v>
      </c>
      <c r="D93" s="2" t="s">
        <v>19</v>
      </c>
      <c r="E93" s="2">
        <v>7</v>
      </c>
      <c r="F93" s="2">
        <v>381514</v>
      </c>
      <c r="G93" s="2">
        <v>8.66</v>
      </c>
      <c r="H93" s="2">
        <v>85550.19</v>
      </c>
      <c r="I93" s="2" t="s">
        <v>13</v>
      </c>
      <c r="J93" s="2" t="s">
        <v>21</v>
      </c>
    </row>
    <row r="94" spans="1:10" x14ac:dyDescent="0.25">
      <c r="A94" s="3">
        <v>45384</v>
      </c>
      <c r="B94" s="2" t="s">
        <v>22</v>
      </c>
      <c r="C94" s="2" t="s">
        <v>18</v>
      </c>
      <c r="D94" s="2" t="s">
        <v>25</v>
      </c>
      <c r="E94" s="2">
        <v>8</v>
      </c>
      <c r="F94" s="2">
        <v>140272</v>
      </c>
      <c r="G94" s="2">
        <v>12.91</v>
      </c>
      <c r="H94" s="2">
        <v>39746.69</v>
      </c>
      <c r="I94" s="2" t="s">
        <v>17</v>
      </c>
      <c r="J94" s="2" t="s">
        <v>21</v>
      </c>
    </row>
    <row r="95" spans="1:10" x14ac:dyDescent="0.25">
      <c r="A95" s="3">
        <v>45385</v>
      </c>
      <c r="B95" s="2" t="s">
        <v>15</v>
      </c>
      <c r="C95" s="2" t="s">
        <v>18</v>
      </c>
      <c r="D95" s="2" t="s">
        <v>12</v>
      </c>
      <c r="E95" s="2">
        <v>3</v>
      </c>
      <c r="F95" s="2">
        <v>32082</v>
      </c>
      <c r="G95" s="2">
        <v>5.14</v>
      </c>
      <c r="H95" s="2">
        <v>7239.14</v>
      </c>
      <c r="I95" s="2" t="s">
        <v>20</v>
      </c>
      <c r="J95" s="2" t="s">
        <v>21</v>
      </c>
    </row>
    <row r="96" spans="1:10" x14ac:dyDescent="0.25">
      <c r="A96" s="3">
        <v>45386</v>
      </c>
      <c r="B96" s="2" t="s">
        <v>22</v>
      </c>
      <c r="C96" s="2" t="s">
        <v>23</v>
      </c>
      <c r="D96" s="2" t="s">
        <v>19</v>
      </c>
      <c r="E96" s="2">
        <v>4</v>
      </c>
      <c r="F96" s="2">
        <v>200340</v>
      </c>
      <c r="G96" s="2">
        <v>10.37</v>
      </c>
      <c r="H96" s="2">
        <v>58302</v>
      </c>
      <c r="I96" s="2" t="s">
        <v>17</v>
      </c>
      <c r="J96" s="2" t="s">
        <v>14</v>
      </c>
    </row>
    <row r="97" spans="1:10" x14ac:dyDescent="0.25">
      <c r="A97" s="3">
        <v>45387</v>
      </c>
      <c r="B97" s="2" t="s">
        <v>15</v>
      </c>
      <c r="C97" s="2" t="s">
        <v>16</v>
      </c>
      <c r="D97" s="2" t="s">
        <v>19</v>
      </c>
      <c r="E97" s="2">
        <v>1</v>
      </c>
      <c r="F97" s="2">
        <v>45757</v>
      </c>
      <c r="G97" s="2">
        <v>9.5500000000000007</v>
      </c>
      <c r="H97" s="2">
        <v>10029</v>
      </c>
      <c r="I97" s="2" t="s">
        <v>13</v>
      </c>
      <c r="J97" s="2" t="s">
        <v>21</v>
      </c>
    </row>
    <row r="98" spans="1:10" x14ac:dyDescent="0.25">
      <c r="A98" s="3">
        <v>45388</v>
      </c>
      <c r="B98" s="2" t="s">
        <v>15</v>
      </c>
      <c r="C98" s="2" t="s">
        <v>18</v>
      </c>
      <c r="D98" s="2" t="s">
        <v>12</v>
      </c>
      <c r="E98" s="2">
        <v>2</v>
      </c>
      <c r="F98" s="2">
        <v>27460</v>
      </c>
      <c r="G98" s="2">
        <v>11.73</v>
      </c>
      <c r="H98" s="2">
        <v>8866.61</v>
      </c>
      <c r="I98" s="2" t="s">
        <v>20</v>
      </c>
      <c r="J98" s="2" t="s">
        <v>21</v>
      </c>
    </row>
    <row r="99" spans="1:10" x14ac:dyDescent="0.25">
      <c r="A99" s="3">
        <v>45389</v>
      </c>
      <c r="B99" s="2" t="s">
        <v>24</v>
      </c>
      <c r="C99" s="2" t="s">
        <v>16</v>
      </c>
      <c r="D99" s="2" t="s">
        <v>12</v>
      </c>
      <c r="E99" s="2">
        <v>7</v>
      </c>
      <c r="F99" s="2">
        <v>98343</v>
      </c>
      <c r="G99" s="2">
        <v>11.72</v>
      </c>
      <c r="H99" s="2">
        <v>27634.240000000002</v>
      </c>
      <c r="I99" s="2" t="s">
        <v>20</v>
      </c>
      <c r="J99" s="2" t="s">
        <v>21</v>
      </c>
    </row>
    <row r="100" spans="1:10" x14ac:dyDescent="0.25">
      <c r="A100" s="3">
        <v>45390</v>
      </c>
      <c r="B100" s="2" t="s">
        <v>24</v>
      </c>
      <c r="C100" s="2" t="s">
        <v>16</v>
      </c>
      <c r="D100" s="2" t="s">
        <v>19</v>
      </c>
      <c r="E100" s="2">
        <v>1</v>
      </c>
      <c r="F100" s="2">
        <v>46746</v>
      </c>
      <c r="G100" s="2">
        <v>10.85</v>
      </c>
      <c r="H100" s="2">
        <v>13718.22</v>
      </c>
      <c r="I100" s="2" t="s">
        <v>20</v>
      </c>
      <c r="J100" s="2" t="s">
        <v>14</v>
      </c>
    </row>
    <row r="101" spans="1:10" x14ac:dyDescent="0.25">
      <c r="A101" s="3">
        <v>45391</v>
      </c>
      <c r="B101" s="2" t="s">
        <v>24</v>
      </c>
      <c r="C101" s="2" t="s">
        <v>16</v>
      </c>
      <c r="D101" s="2" t="s">
        <v>19</v>
      </c>
      <c r="E101" s="2">
        <v>9</v>
      </c>
      <c r="F101" s="2">
        <v>473499</v>
      </c>
      <c r="G101" s="2">
        <v>13.22</v>
      </c>
      <c r="H101" s="2">
        <v>123520.26</v>
      </c>
      <c r="I101" s="2" t="s">
        <v>17</v>
      </c>
      <c r="J101" s="2" t="s">
        <v>14</v>
      </c>
    </row>
    <row r="102" spans="1:10" x14ac:dyDescent="0.25">
      <c r="A102" s="3">
        <v>45392</v>
      </c>
      <c r="B102" s="2" t="s">
        <v>10</v>
      </c>
      <c r="C102" s="2" t="s">
        <v>16</v>
      </c>
      <c r="D102" s="2" t="s">
        <v>19</v>
      </c>
      <c r="E102" s="2">
        <v>8</v>
      </c>
      <c r="F102" s="2">
        <v>377472</v>
      </c>
      <c r="G102" s="2">
        <v>14.4</v>
      </c>
      <c r="H102" s="2">
        <v>111558.22</v>
      </c>
      <c r="I102" s="2" t="s">
        <v>17</v>
      </c>
      <c r="J102" s="2" t="s">
        <v>21</v>
      </c>
    </row>
    <row r="103" spans="1:10" x14ac:dyDescent="0.25">
      <c r="A103" s="3">
        <v>45393</v>
      </c>
      <c r="B103" s="2" t="s">
        <v>24</v>
      </c>
      <c r="C103" s="2" t="s">
        <v>23</v>
      </c>
      <c r="D103" s="2" t="s">
        <v>25</v>
      </c>
      <c r="E103" s="2">
        <v>10</v>
      </c>
      <c r="F103" s="2">
        <v>178920</v>
      </c>
      <c r="G103" s="2">
        <v>6.08</v>
      </c>
      <c r="H103" s="2">
        <v>36078.11</v>
      </c>
      <c r="I103" s="2" t="s">
        <v>20</v>
      </c>
      <c r="J103" s="2" t="s">
        <v>21</v>
      </c>
    </row>
    <row r="104" spans="1:10" x14ac:dyDescent="0.25">
      <c r="A104" s="3">
        <v>45394</v>
      </c>
      <c r="B104" s="2" t="s">
        <v>24</v>
      </c>
      <c r="C104" s="2" t="s">
        <v>18</v>
      </c>
      <c r="D104" s="2" t="s">
        <v>19</v>
      </c>
      <c r="E104" s="2">
        <v>8</v>
      </c>
      <c r="F104" s="2">
        <v>418984</v>
      </c>
      <c r="G104" s="2">
        <v>7.34</v>
      </c>
      <c r="H104" s="2">
        <v>125160.56</v>
      </c>
      <c r="I104" s="2" t="s">
        <v>17</v>
      </c>
      <c r="J104" s="2" t="s">
        <v>14</v>
      </c>
    </row>
    <row r="105" spans="1:10" x14ac:dyDescent="0.25">
      <c r="A105" s="3">
        <v>45395</v>
      </c>
      <c r="B105" s="2" t="s">
        <v>22</v>
      </c>
      <c r="C105" s="2" t="s">
        <v>16</v>
      </c>
      <c r="D105" s="2" t="s">
        <v>12</v>
      </c>
      <c r="E105" s="2">
        <v>5</v>
      </c>
      <c r="F105" s="2">
        <v>71350</v>
      </c>
      <c r="G105" s="2">
        <v>5.25</v>
      </c>
      <c r="H105" s="2">
        <v>16638.830000000002</v>
      </c>
      <c r="I105" s="2" t="s">
        <v>13</v>
      </c>
      <c r="J105" s="2" t="s">
        <v>14</v>
      </c>
    </row>
    <row r="106" spans="1:10" x14ac:dyDescent="0.25">
      <c r="A106" s="3">
        <v>45396</v>
      </c>
      <c r="B106" s="2" t="s">
        <v>24</v>
      </c>
      <c r="C106" s="2" t="s">
        <v>16</v>
      </c>
      <c r="D106" s="2" t="s">
        <v>25</v>
      </c>
      <c r="E106" s="2">
        <v>8</v>
      </c>
      <c r="F106" s="2">
        <v>101072</v>
      </c>
      <c r="G106" s="2">
        <v>13.84</v>
      </c>
      <c r="H106" s="2">
        <v>27932.560000000001</v>
      </c>
      <c r="I106" s="2" t="s">
        <v>20</v>
      </c>
      <c r="J106" s="2" t="s">
        <v>14</v>
      </c>
    </row>
    <row r="107" spans="1:10" x14ac:dyDescent="0.25">
      <c r="A107" s="3">
        <v>45397</v>
      </c>
      <c r="B107" s="2" t="s">
        <v>22</v>
      </c>
      <c r="C107" s="2" t="s">
        <v>16</v>
      </c>
      <c r="D107" s="2" t="s">
        <v>25</v>
      </c>
      <c r="E107" s="2">
        <v>6</v>
      </c>
      <c r="F107" s="2">
        <v>87714</v>
      </c>
      <c r="G107" s="2">
        <v>10.61</v>
      </c>
      <c r="H107" s="2">
        <v>28820.62</v>
      </c>
      <c r="I107" s="2" t="s">
        <v>13</v>
      </c>
      <c r="J107" s="2" t="s">
        <v>21</v>
      </c>
    </row>
    <row r="108" spans="1:10" x14ac:dyDescent="0.25">
      <c r="A108" s="3">
        <v>45398</v>
      </c>
      <c r="B108" s="2" t="s">
        <v>10</v>
      </c>
      <c r="C108" s="2" t="s">
        <v>16</v>
      </c>
      <c r="D108" s="2" t="s">
        <v>19</v>
      </c>
      <c r="E108" s="2">
        <v>4</v>
      </c>
      <c r="F108" s="2">
        <v>205100</v>
      </c>
      <c r="G108" s="2">
        <v>14.15</v>
      </c>
      <c r="H108" s="2">
        <v>65084.4</v>
      </c>
      <c r="I108" s="2" t="s">
        <v>13</v>
      </c>
      <c r="J108" s="2" t="s">
        <v>14</v>
      </c>
    </row>
    <row r="109" spans="1:10" x14ac:dyDescent="0.25">
      <c r="A109" s="3">
        <v>45399</v>
      </c>
      <c r="B109" s="2" t="s">
        <v>15</v>
      </c>
      <c r="C109" s="2" t="s">
        <v>16</v>
      </c>
      <c r="D109" s="2" t="s">
        <v>19</v>
      </c>
      <c r="E109" s="2">
        <v>7</v>
      </c>
      <c r="F109" s="2">
        <v>361746</v>
      </c>
      <c r="G109" s="2">
        <v>7.21</v>
      </c>
      <c r="H109" s="2">
        <v>99372.75</v>
      </c>
      <c r="I109" s="2" t="s">
        <v>17</v>
      </c>
      <c r="J109" s="2" t="s">
        <v>14</v>
      </c>
    </row>
    <row r="110" spans="1:10" x14ac:dyDescent="0.25">
      <c r="A110" s="3">
        <v>45400</v>
      </c>
      <c r="B110" s="2" t="s">
        <v>22</v>
      </c>
      <c r="C110" s="2" t="s">
        <v>18</v>
      </c>
      <c r="D110" s="2" t="s">
        <v>25</v>
      </c>
      <c r="E110" s="2">
        <v>1</v>
      </c>
      <c r="F110" s="2">
        <v>13694</v>
      </c>
      <c r="G110" s="2">
        <v>5.63</v>
      </c>
      <c r="H110" s="2">
        <v>3735.93</v>
      </c>
      <c r="I110" s="2" t="s">
        <v>17</v>
      </c>
      <c r="J110" s="2" t="s">
        <v>14</v>
      </c>
    </row>
    <row r="111" spans="1:10" x14ac:dyDescent="0.25">
      <c r="A111" s="3">
        <v>45401</v>
      </c>
      <c r="B111" s="2" t="s">
        <v>24</v>
      </c>
      <c r="C111" s="2" t="s">
        <v>18</v>
      </c>
      <c r="D111" s="2" t="s">
        <v>12</v>
      </c>
      <c r="E111" s="2">
        <v>1</v>
      </c>
      <c r="F111" s="2">
        <v>14716</v>
      </c>
      <c r="G111" s="2">
        <v>13.24</v>
      </c>
      <c r="H111" s="2">
        <v>4650.78</v>
      </c>
      <c r="I111" s="2" t="s">
        <v>20</v>
      </c>
      <c r="J111" s="2" t="s">
        <v>14</v>
      </c>
    </row>
    <row r="112" spans="1:10" x14ac:dyDescent="0.25">
      <c r="A112" s="3">
        <v>45402</v>
      </c>
      <c r="B112" s="2" t="s">
        <v>24</v>
      </c>
      <c r="C112" s="2" t="s">
        <v>18</v>
      </c>
      <c r="D112" s="2" t="s">
        <v>19</v>
      </c>
      <c r="E112" s="2">
        <v>6</v>
      </c>
      <c r="F112" s="2">
        <v>299352</v>
      </c>
      <c r="G112" s="2">
        <v>14.09</v>
      </c>
      <c r="H112" s="2">
        <v>93823.65</v>
      </c>
      <c r="I112" s="2" t="s">
        <v>13</v>
      </c>
      <c r="J112" s="2" t="s">
        <v>21</v>
      </c>
    </row>
    <row r="113" spans="1:10" x14ac:dyDescent="0.25">
      <c r="A113" s="3">
        <v>45403</v>
      </c>
      <c r="B113" s="2" t="s">
        <v>24</v>
      </c>
      <c r="C113" s="2" t="s">
        <v>18</v>
      </c>
      <c r="D113" s="2" t="s">
        <v>12</v>
      </c>
      <c r="E113" s="2">
        <v>9</v>
      </c>
      <c r="F113" s="2">
        <v>134469</v>
      </c>
      <c r="G113" s="2">
        <v>8.02</v>
      </c>
      <c r="H113" s="2">
        <v>41564.07</v>
      </c>
      <c r="I113" s="2" t="s">
        <v>17</v>
      </c>
      <c r="J113" s="2" t="s">
        <v>21</v>
      </c>
    </row>
    <row r="114" spans="1:10" x14ac:dyDescent="0.25">
      <c r="A114" s="3">
        <v>45404</v>
      </c>
      <c r="B114" s="2" t="s">
        <v>15</v>
      </c>
      <c r="C114" s="2" t="s">
        <v>18</v>
      </c>
      <c r="D114" s="2" t="s">
        <v>19</v>
      </c>
      <c r="E114" s="2">
        <v>5</v>
      </c>
      <c r="F114" s="2">
        <v>260700</v>
      </c>
      <c r="G114" s="2">
        <v>9.08</v>
      </c>
      <c r="H114" s="2">
        <v>56375.78</v>
      </c>
      <c r="I114" s="2" t="s">
        <v>13</v>
      </c>
      <c r="J114" s="2" t="s">
        <v>21</v>
      </c>
    </row>
    <row r="115" spans="1:10" x14ac:dyDescent="0.25">
      <c r="A115" s="3">
        <v>45405</v>
      </c>
      <c r="B115" s="2" t="s">
        <v>24</v>
      </c>
      <c r="C115" s="2" t="s">
        <v>11</v>
      </c>
      <c r="D115" s="2" t="s">
        <v>25</v>
      </c>
      <c r="E115" s="2">
        <v>6</v>
      </c>
      <c r="F115" s="2">
        <v>104874</v>
      </c>
      <c r="G115" s="2">
        <v>6.4</v>
      </c>
      <c r="H115" s="2">
        <v>28663.65</v>
      </c>
      <c r="I115" s="2" t="s">
        <v>17</v>
      </c>
      <c r="J115" s="2" t="s">
        <v>14</v>
      </c>
    </row>
    <row r="116" spans="1:10" x14ac:dyDescent="0.25">
      <c r="A116" s="3">
        <v>45406</v>
      </c>
      <c r="B116" s="2" t="s">
        <v>24</v>
      </c>
      <c r="C116" s="2" t="s">
        <v>16</v>
      </c>
      <c r="D116" s="2" t="s">
        <v>25</v>
      </c>
      <c r="E116" s="2">
        <v>3</v>
      </c>
      <c r="F116" s="2">
        <v>51291</v>
      </c>
      <c r="G116" s="2">
        <v>14.46</v>
      </c>
      <c r="H116" s="2">
        <v>15884.14</v>
      </c>
      <c r="I116" s="2" t="s">
        <v>13</v>
      </c>
      <c r="J116" s="2" t="s">
        <v>14</v>
      </c>
    </row>
    <row r="117" spans="1:10" x14ac:dyDescent="0.25">
      <c r="A117" s="3">
        <v>45407</v>
      </c>
      <c r="B117" s="2" t="s">
        <v>10</v>
      </c>
      <c r="C117" s="2" t="s">
        <v>18</v>
      </c>
      <c r="D117" s="2" t="s">
        <v>12</v>
      </c>
      <c r="E117" s="2">
        <v>10</v>
      </c>
      <c r="F117" s="2">
        <v>102220</v>
      </c>
      <c r="G117" s="2">
        <v>8.0399999999999991</v>
      </c>
      <c r="H117" s="2">
        <v>21800.13</v>
      </c>
      <c r="I117" s="2" t="s">
        <v>20</v>
      </c>
      <c r="J117" s="2" t="s">
        <v>21</v>
      </c>
    </row>
    <row r="118" spans="1:10" x14ac:dyDescent="0.25">
      <c r="A118" s="3">
        <v>45408</v>
      </c>
      <c r="B118" s="2" t="s">
        <v>10</v>
      </c>
      <c r="C118" s="2" t="s">
        <v>18</v>
      </c>
      <c r="D118" s="2" t="s">
        <v>19</v>
      </c>
      <c r="E118" s="2">
        <v>8</v>
      </c>
      <c r="F118" s="2">
        <v>383816</v>
      </c>
      <c r="G118" s="2">
        <v>9.93</v>
      </c>
      <c r="H118" s="2">
        <v>98585.48</v>
      </c>
      <c r="I118" s="2" t="s">
        <v>17</v>
      </c>
      <c r="J118" s="2" t="s">
        <v>21</v>
      </c>
    </row>
    <row r="119" spans="1:10" x14ac:dyDescent="0.25">
      <c r="A119" s="3">
        <v>45409</v>
      </c>
      <c r="B119" s="2" t="s">
        <v>10</v>
      </c>
      <c r="C119" s="2" t="s">
        <v>23</v>
      </c>
      <c r="D119" s="2" t="s">
        <v>25</v>
      </c>
      <c r="E119" s="2">
        <v>6</v>
      </c>
      <c r="F119" s="2">
        <v>82398</v>
      </c>
      <c r="G119" s="2">
        <v>5.97</v>
      </c>
      <c r="H119" s="2">
        <v>14605.16</v>
      </c>
      <c r="I119" s="2" t="s">
        <v>20</v>
      </c>
      <c r="J119" s="2" t="s">
        <v>21</v>
      </c>
    </row>
    <row r="120" spans="1:10" x14ac:dyDescent="0.25">
      <c r="A120" s="3">
        <v>45410</v>
      </c>
      <c r="B120" s="2" t="s">
        <v>24</v>
      </c>
      <c r="C120" s="2" t="s">
        <v>23</v>
      </c>
      <c r="D120" s="2" t="s">
        <v>25</v>
      </c>
      <c r="E120" s="2">
        <v>7</v>
      </c>
      <c r="F120" s="2">
        <v>99953</v>
      </c>
      <c r="G120" s="2">
        <v>13.87</v>
      </c>
      <c r="H120" s="2">
        <v>24977.31</v>
      </c>
      <c r="I120" s="2" t="s">
        <v>13</v>
      </c>
      <c r="J120" s="2" t="s">
        <v>21</v>
      </c>
    </row>
    <row r="121" spans="1:10" x14ac:dyDescent="0.25">
      <c r="A121" s="3">
        <v>45411</v>
      </c>
      <c r="B121" s="2" t="s">
        <v>24</v>
      </c>
      <c r="C121" s="2" t="s">
        <v>23</v>
      </c>
      <c r="D121" s="2" t="s">
        <v>19</v>
      </c>
      <c r="E121" s="2">
        <v>8</v>
      </c>
      <c r="F121" s="2">
        <v>362536</v>
      </c>
      <c r="G121" s="2">
        <v>6.36</v>
      </c>
      <c r="H121" s="2">
        <v>104247.49</v>
      </c>
      <c r="I121" s="2" t="s">
        <v>13</v>
      </c>
      <c r="J121" s="2" t="s">
        <v>14</v>
      </c>
    </row>
    <row r="122" spans="1:10" x14ac:dyDescent="0.25">
      <c r="A122" s="3">
        <v>45412</v>
      </c>
      <c r="B122" s="2" t="s">
        <v>10</v>
      </c>
      <c r="C122" s="2" t="s">
        <v>23</v>
      </c>
      <c r="D122" s="2" t="s">
        <v>19</v>
      </c>
      <c r="E122" s="2">
        <v>2</v>
      </c>
      <c r="F122" s="2">
        <v>91318</v>
      </c>
      <c r="G122" s="2">
        <v>9.5399999999999991</v>
      </c>
      <c r="H122" s="2">
        <v>18682.37</v>
      </c>
      <c r="I122" s="2" t="s">
        <v>20</v>
      </c>
      <c r="J122" s="2" t="s">
        <v>14</v>
      </c>
    </row>
    <row r="123" spans="1:10" x14ac:dyDescent="0.25">
      <c r="A123" s="3">
        <v>45413</v>
      </c>
      <c r="B123" s="2" t="s">
        <v>10</v>
      </c>
      <c r="C123" s="2" t="s">
        <v>16</v>
      </c>
      <c r="D123" s="2" t="s">
        <v>19</v>
      </c>
      <c r="E123" s="2">
        <v>1</v>
      </c>
      <c r="F123" s="2">
        <v>47496</v>
      </c>
      <c r="G123" s="2">
        <v>11.7</v>
      </c>
      <c r="H123" s="2">
        <v>15777.4</v>
      </c>
      <c r="I123" s="2" t="s">
        <v>13</v>
      </c>
      <c r="J123" s="2" t="s">
        <v>21</v>
      </c>
    </row>
    <row r="124" spans="1:10" x14ac:dyDescent="0.25">
      <c r="A124" s="3">
        <v>45414</v>
      </c>
      <c r="B124" s="2" t="s">
        <v>15</v>
      </c>
      <c r="C124" s="2" t="s">
        <v>16</v>
      </c>
      <c r="D124" s="2" t="s">
        <v>25</v>
      </c>
      <c r="E124" s="2">
        <v>2</v>
      </c>
      <c r="F124" s="2">
        <v>33240</v>
      </c>
      <c r="G124" s="2">
        <v>12.43</v>
      </c>
      <c r="H124" s="2">
        <v>11327.32</v>
      </c>
      <c r="I124" s="2" t="s">
        <v>17</v>
      </c>
      <c r="J124" s="2" t="s">
        <v>21</v>
      </c>
    </row>
    <row r="125" spans="1:10" x14ac:dyDescent="0.25">
      <c r="A125" s="3">
        <v>45415</v>
      </c>
      <c r="B125" s="2" t="s">
        <v>15</v>
      </c>
      <c r="C125" s="2" t="s">
        <v>18</v>
      </c>
      <c r="D125" s="2" t="s">
        <v>12</v>
      </c>
      <c r="E125" s="2">
        <v>5</v>
      </c>
      <c r="F125" s="2">
        <v>65105</v>
      </c>
      <c r="G125" s="2">
        <v>14.46</v>
      </c>
      <c r="H125" s="2">
        <v>15641.69</v>
      </c>
      <c r="I125" s="2" t="s">
        <v>17</v>
      </c>
      <c r="J125" s="2" t="s">
        <v>21</v>
      </c>
    </row>
    <row r="126" spans="1:10" x14ac:dyDescent="0.25">
      <c r="A126" s="3">
        <v>45416</v>
      </c>
      <c r="B126" s="2" t="s">
        <v>15</v>
      </c>
      <c r="C126" s="2" t="s">
        <v>11</v>
      </c>
      <c r="D126" s="2" t="s">
        <v>19</v>
      </c>
      <c r="E126" s="2">
        <v>5</v>
      </c>
      <c r="F126" s="2">
        <v>233855</v>
      </c>
      <c r="G126" s="2">
        <v>9.19</v>
      </c>
      <c r="H126" s="2">
        <v>47122.68</v>
      </c>
      <c r="I126" s="2" t="s">
        <v>13</v>
      </c>
      <c r="J126" s="2" t="s">
        <v>21</v>
      </c>
    </row>
    <row r="127" spans="1:10" x14ac:dyDescent="0.25">
      <c r="A127" s="3">
        <v>45417</v>
      </c>
      <c r="B127" s="2" t="s">
        <v>10</v>
      </c>
      <c r="C127" s="2" t="s">
        <v>23</v>
      </c>
      <c r="D127" s="2" t="s">
        <v>12</v>
      </c>
      <c r="E127" s="2">
        <v>7</v>
      </c>
      <c r="F127" s="2">
        <v>92743</v>
      </c>
      <c r="G127" s="2">
        <v>12.42</v>
      </c>
      <c r="H127" s="2">
        <v>24812</v>
      </c>
      <c r="I127" s="2" t="s">
        <v>13</v>
      </c>
      <c r="J127" s="2" t="s">
        <v>14</v>
      </c>
    </row>
    <row r="128" spans="1:10" x14ac:dyDescent="0.25">
      <c r="A128" s="3">
        <v>45418</v>
      </c>
      <c r="B128" s="2" t="s">
        <v>15</v>
      </c>
      <c r="C128" s="2" t="s">
        <v>11</v>
      </c>
      <c r="D128" s="2" t="s">
        <v>12</v>
      </c>
      <c r="E128" s="2">
        <v>4</v>
      </c>
      <c r="F128" s="2">
        <v>43336</v>
      </c>
      <c r="G128" s="2">
        <v>6.55</v>
      </c>
      <c r="H128" s="2">
        <v>9477.9699999999993</v>
      </c>
      <c r="I128" s="2" t="s">
        <v>13</v>
      </c>
      <c r="J128" s="2" t="s">
        <v>14</v>
      </c>
    </row>
    <row r="129" spans="1:10" x14ac:dyDescent="0.25">
      <c r="A129" s="3">
        <v>45419</v>
      </c>
      <c r="B129" s="2" t="s">
        <v>22</v>
      </c>
      <c r="C129" s="2" t="s">
        <v>11</v>
      </c>
      <c r="D129" s="2" t="s">
        <v>12</v>
      </c>
      <c r="E129" s="2">
        <v>1</v>
      </c>
      <c r="F129" s="2">
        <v>12844</v>
      </c>
      <c r="G129" s="2">
        <v>9.15</v>
      </c>
      <c r="H129" s="2">
        <v>2850.45</v>
      </c>
      <c r="I129" s="2" t="s">
        <v>13</v>
      </c>
      <c r="J129" s="2" t="s">
        <v>14</v>
      </c>
    </row>
    <row r="130" spans="1:10" x14ac:dyDescent="0.25">
      <c r="A130" s="3">
        <v>45420</v>
      </c>
      <c r="B130" s="2" t="s">
        <v>24</v>
      </c>
      <c r="C130" s="2" t="s">
        <v>23</v>
      </c>
      <c r="D130" s="2" t="s">
        <v>19</v>
      </c>
      <c r="E130" s="2">
        <v>9</v>
      </c>
      <c r="F130" s="2">
        <v>455310</v>
      </c>
      <c r="G130" s="2">
        <v>5.99</v>
      </c>
      <c r="H130" s="2">
        <v>107464.84</v>
      </c>
      <c r="I130" s="2" t="s">
        <v>17</v>
      </c>
      <c r="J130" s="2" t="s">
        <v>14</v>
      </c>
    </row>
    <row r="131" spans="1:10" x14ac:dyDescent="0.25">
      <c r="A131" s="3">
        <v>45421</v>
      </c>
      <c r="B131" s="2" t="s">
        <v>10</v>
      </c>
      <c r="C131" s="2" t="s">
        <v>18</v>
      </c>
      <c r="D131" s="2" t="s">
        <v>25</v>
      </c>
      <c r="E131" s="2">
        <v>2</v>
      </c>
      <c r="F131" s="2">
        <v>31102</v>
      </c>
      <c r="G131" s="2">
        <v>9.89</v>
      </c>
      <c r="H131" s="2">
        <v>9599.14</v>
      </c>
      <c r="I131" s="2" t="s">
        <v>17</v>
      </c>
      <c r="J131" s="2" t="s">
        <v>21</v>
      </c>
    </row>
    <row r="132" spans="1:10" x14ac:dyDescent="0.25">
      <c r="A132" s="3">
        <v>45422</v>
      </c>
      <c r="B132" s="2" t="s">
        <v>22</v>
      </c>
      <c r="C132" s="2" t="s">
        <v>18</v>
      </c>
      <c r="D132" s="2" t="s">
        <v>12</v>
      </c>
      <c r="E132" s="2">
        <v>3</v>
      </c>
      <c r="F132" s="2">
        <v>40701</v>
      </c>
      <c r="G132" s="2">
        <v>9.08</v>
      </c>
      <c r="H132" s="2">
        <v>12831.57</v>
      </c>
      <c r="I132" s="2" t="s">
        <v>13</v>
      </c>
      <c r="J132" s="2" t="s">
        <v>21</v>
      </c>
    </row>
    <row r="133" spans="1:10" x14ac:dyDescent="0.25">
      <c r="A133" s="3">
        <v>45423</v>
      </c>
      <c r="B133" s="2" t="s">
        <v>15</v>
      </c>
      <c r="C133" s="2" t="s">
        <v>23</v>
      </c>
      <c r="D133" s="2" t="s">
        <v>12</v>
      </c>
      <c r="E133" s="2">
        <v>9</v>
      </c>
      <c r="F133" s="2">
        <v>125640</v>
      </c>
      <c r="G133" s="2">
        <v>14.52</v>
      </c>
      <c r="H133" s="2">
        <v>39855.519999999997</v>
      </c>
      <c r="I133" s="2" t="s">
        <v>20</v>
      </c>
      <c r="J133" s="2" t="s">
        <v>14</v>
      </c>
    </row>
    <row r="134" spans="1:10" x14ac:dyDescent="0.25">
      <c r="A134" s="3">
        <v>45424</v>
      </c>
      <c r="B134" s="2" t="s">
        <v>24</v>
      </c>
      <c r="C134" s="2" t="s">
        <v>18</v>
      </c>
      <c r="D134" s="2" t="s">
        <v>12</v>
      </c>
      <c r="E134" s="2">
        <v>10</v>
      </c>
      <c r="F134" s="2">
        <v>121980</v>
      </c>
      <c r="G134" s="2">
        <v>5.33</v>
      </c>
      <c r="H134" s="2">
        <v>21487.82</v>
      </c>
      <c r="I134" s="2" t="s">
        <v>20</v>
      </c>
      <c r="J134" s="2" t="s">
        <v>21</v>
      </c>
    </row>
    <row r="135" spans="1:10" x14ac:dyDescent="0.25">
      <c r="A135" s="3">
        <v>45425</v>
      </c>
      <c r="B135" s="2" t="s">
        <v>22</v>
      </c>
      <c r="C135" s="2" t="s">
        <v>16</v>
      </c>
      <c r="D135" s="2" t="s">
        <v>19</v>
      </c>
      <c r="E135" s="2">
        <v>5</v>
      </c>
      <c r="F135" s="2">
        <v>261925</v>
      </c>
      <c r="G135" s="2">
        <v>8.7100000000000009</v>
      </c>
      <c r="H135" s="2">
        <v>60411.01</v>
      </c>
      <c r="I135" s="2" t="s">
        <v>17</v>
      </c>
      <c r="J135" s="2" t="s">
        <v>21</v>
      </c>
    </row>
    <row r="136" spans="1:10" x14ac:dyDescent="0.25">
      <c r="A136" s="3">
        <v>45426</v>
      </c>
      <c r="B136" s="2" t="s">
        <v>15</v>
      </c>
      <c r="C136" s="2" t="s">
        <v>18</v>
      </c>
      <c r="D136" s="2" t="s">
        <v>12</v>
      </c>
      <c r="E136" s="2">
        <v>10</v>
      </c>
      <c r="F136" s="2">
        <v>131040</v>
      </c>
      <c r="G136" s="2">
        <v>9.43</v>
      </c>
      <c r="H136" s="2">
        <v>27220.1</v>
      </c>
      <c r="I136" s="2" t="s">
        <v>20</v>
      </c>
      <c r="J136" s="2" t="s">
        <v>21</v>
      </c>
    </row>
    <row r="137" spans="1:10" x14ac:dyDescent="0.25">
      <c r="A137" s="3">
        <v>45427</v>
      </c>
      <c r="B137" s="2" t="s">
        <v>22</v>
      </c>
      <c r="C137" s="2" t="s">
        <v>11</v>
      </c>
      <c r="D137" s="2" t="s">
        <v>25</v>
      </c>
      <c r="E137" s="2">
        <v>6</v>
      </c>
      <c r="F137" s="2">
        <v>80934</v>
      </c>
      <c r="G137" s="2">
        <v>14.51</v>
      </c>
      <c r="H137" s="2">
        <v>19492.05</v>
      </c>
      <c r="I137" s="2" t="s">
        <v>13</v>
      </c>
      <c r="J137" s="2" t="s">
        <v>14</v>
      </c>
    </row>
    <row r="138" spans="1:10" x14ac:dyDescent="0.25">
      <c r="A138" s="3">
        <v>45428</v>
      </c>
      <c r="B138" s="2" t="s">
        <v>24</v>
      </c>
      <c r="C138" s="2" t="s">
        <v>16</v>
      </c>
      <c r="D138" s="2" t="s">
        <v>25</v>
      </c>
      <c r="E138" s="2">
        <v>5</v>
      </c>
      <c r="F138" s="2">
        <v>73940</v>
      </c>
      <c r="G138" s="2">
        <v>13.55</v>
      </c>
      <c r="H138" s="2">
        <v>25156.69</v>
      </c>
      <c r="I138" s="2" t="s">
        <v>20</v>
      </c>
      <c r="J138" s="2" t="s">
        <v>21</v>
      </c>
    </row>
    <row r="139" spans="1:10" x14ac:dyDescent="0.25">
      <c r="A139" s="3">
        <v>45429</v>
      </c>
      <c r="B139" s="2" t="s">
        <v>22</v>
      </c>
      <c r="C139" s="2" t="s">
        <v>23</v>
      </c>
      <c r="D139" s="2" t="s">
        <v>12</v>
      </c>
      <c r="E139" s="2">
        <v>1</v>
      </c>
      <c r="F139" s="2">
        <v>14232</v>
      </c>
      <c r="G139" s="2">
        <v>5.99</v>
      </c>
      <c r="H139" s="2">
        <v>2503</v>
      </c>
      <c r="I139" s="2" t="s">
        <v>17</v>
      </c>
      <c r="J139" s="2" t="s">
        <v>21</v>
      </c>
    </row>
    <row r="140" spans="1:10" x14ac:dyDescent="0.25">
      <c r="A140" s="3">
        <v>45430</v>
      </c>
      <c r="B140" s="2" t="s">
        <v>15</v>
      </c>
      <c r="C140" s="2" t="s">
        <v>11</v>
      </c>
      <c r="D140" s="2" t="s">
        <v>19</v>
      </c>
      <c r="E140" s="2">
        <v>7</v>
      </c>
      <c r="F140" s="2">
        <v>371028</v>
      </c>
      <c r="G140" s="2">
        <v>11.86</v>
      </c>
      <c r="H140" s="2">
        <v>113815.06</v>
      </c>
      <c r="I140" s="2" t="s">
        <v>13</v>
      </c>
      <c r="J140" s="2" t="s">
        <v>14</v>
      </c>
    </row>
    <row r="141" spans="1:10" x14ac:dyDescent="0.25">
      <c r="A141" s="3">
        <v>45431</v>
      </c>
      <c r="B141" s="2" t="s">
        <v>15</v>
      </c>
      <c r="C141" s="2" t="s">
        <v>18</v>
      </c>
      <c r="D141" s="2" t="s">
        <v>12</v>
      </c>
      <c r="E141" s="2">
        <v>8</v>
      </c>
      <c r="F141" s="2">
        <v>109368</v>
      </c>
      <c r="G141" s="2">
        <v>10.44</v>
      </c>
      <c r="H141" s="2">
        <v>27257.8</v>
      </c>
      <c r="I141" s="2" t="s">
        <v>13</v>
      </c>
      <c r="J141" s="2" t="s">
        <v>14</v>
      </c>
    </row>
    <row r="142" spans="1:10" x14ac:dyDescent="0.25">
      <c r="A142" s="3">
        <v>45432</v>
      </c>
      <c r="B142" s="2" t="s">
        <v>10</v>
      </c>
      <c r="C142" s="2" t="s">
        <v>11</v>
      </c>
      <c r="D142" s="2" t="s">
        <v>25</v>
      </c>
      <c r="E142" s="2">
        <v>4</v>
      </c>
      <c r="F142" s="2">
        <v>61248</v>
      </c>
      <c r="G142" s="2">
        <v>14.78</v>
      </c>
      <c r="H142" s="2">
        <v>17998.27</v>
      </c>
      <c r="I142" s="2" t="s">
        <v>17</v>
      </c>
      <c r="J142" s="2" t="s">
        <v>14</v>
      </c>
    </row>
    <row r="143" spans="1:10" x14ac:dyDescent="0.25">
      <c r="A143" s="3">
        <v>45433</v>
      </c>
      <c r="B143" s="2" t="s">
        <v>15</v>
      </c>
      <c r="C143" s="2" t="s">
        <v>23</v>
      </c>
      <c r="D143" s="2" t="s">
        <v>12</v>
      </c>
      <c r="E143" s="2">
        <v>10</v>
      </c>
      <c r="F143" s="2">
        <v>130230</v>
      </c>
      <c r="G143" s="2">
        <v>8.59</v>
      </c>
      <c r="H143" s="2">
        <v>33877.129999999997</v>
      </c>
      <c r="I143" s="2" t="s">
        <v>20</v>
      </c>
      <c r="J143" s="2" t="s">
        <v>14</v>
      </c>
    </row>
    <row r="144" spans="1:10" x14ac:dyDescent="0.25">
      <c r="A144" s="3">
        <v>45434</v>
      </c>
      <c r="B144" s="2" t="s">
        <v>24</v>
      </c>
      <c r="C144" s="2" t="s">
        <v>23</v>
      </c>
      <c r="D144" s="2" t="s">
        <v>25</v>
      </c>
      <c r="E144" s="2">
        <v>9</v>
      </c>
      <c r="F144" s="2">
        <v>132381</v>
      </c>
      <c r="G144" s="2">
        <v>8.98</v>
      </c>
      <c r="H144" s="2">
        <v>36404.69</v>
      </c>
      <c r="I144" s="2" t="s">
        <v>17</v>
      </c>
      <c r="J144" s="2" t="s">
        <v>21</v>
      </c>
    </row>
    <row r="145" spans="1:10" x14ac:dyDescent="0.25">
      <c r="A145" s="3">
        <v>45435</v>
      </c>
      <c r="B145" s="2" t="s">
        <v>22</v>
      </c>
      <c r="C145" s="2" t="s">
        <v>18</v>
      </c>
      <c r="D145" s="2" t="s">
        <v>25</v>
      </c>
      <c r="E145" s="2">
        <v>5</v>
      </c>
      <c r="F145" s="2">
        <v>70295</v>
      </c>
      <c r="G145" s="2">
        <v>6.9</v>
      </c>
      <c r="H145" s="2">
        <v>17877.54</v>
      </c>
      <c r="I145" s="2" t="s">
        <v>17</v>
      </c>
      <c r="J145" s="2" t="s">
        <v>14</v>
      </c>
    </row>
    <row r="146" spans="1:10" x14ac:dyDescent="0.25">
      <c r="A146" s="3">
        <v>45436</v>
      </c>
      <c r="B146" s="2" t="s">
        <v>15</v>
      </c>
      <c r="C146" s="2" t="s">
        <v>11</v>
      </c>
      <c r="D146" s="2" t="s">
        <v>12</v>
      </c>
      <c r="E146" s="2">
        <v>4</v>
      </c>
      <c r="F146" s="2">
        <v>50336</v>
      </c>
      <c r="G146" s="2">
        <v>6.22</v>
      </c>
      <c r="H146" s="2">
        <v>12574.44</v>
      </c>
      <c r="I146" s="2" t="s">
        <v>20</v>
      </c>
      <c r="J146" s="2" t="s">
        <v>21</v>
      </c>
    </row>
    <row r="147" spans="1:10" x14ac:dyDescent="0.25">
      <c r="A147" s="3">
        <v>45437</v>
      </c>
      <c r="B147" s="2" t="s">
        <v>10</v>
      </c>
      <c r="C147" s="2" t="s">
        <v>16</v>
      </c>
      <c r="D147" s="2" t="s">
        <v>19</v>
      </c>
      <c r="E147" s="2">
        <v>4</v>
      </c>
      <c r="F147" s="2">
        <v>211732</v>
      </c>
      <c r="G147" s="2">
        <v>13.48</v>
      </c>
      <c r="H147" s="2">
        <v>69719.600000000006</v>
      </c>
      <c r="I147" s="2" t="s">
        <v>13</v>
      </c>
      <c r="J147" s="2" t="s">
        <v>14</v>
      </c>
    </row>
    <row r="148" spans="1:10" x14ac:dyDescent="0.25">
      <c r="A148" s="3">
        <v>45438</v>
      </c>
      <c r="B148" s="2" t="s">
        <v>22</v>
      </c>
      <c r="C148" s="2" t="s">
        <v>23</v>
      </c>
      <c r="D148" s="2" t="s">
        <v>19</v>
      </c>
      <c r="E148" s="2">
        <v>4</v>
      </c>
      <c r="F148" s="2">
        <v>199412</v>
      </c>
      <c r="G148" s="2">
        <v>9.5500000000000007</v>
      </c>
      <c r="H148" s="2">
        <v>50319.99</v>
      </c>
      <c r="I148" s="2" t="s">
        <v>20</v>
      </c>
      <c r="J148" s="2" t="s">
        <v>21</v>
      </c>
    </row>
    <row r="149" spans="1:10" x14ac:dyDescent="0.25">
      <c r="A149" s="3">
        <v>45439</v>
      </c>
      <c r="B149" s="2" t="s">
        <v>15</v>
      </c>
      <c r="C149" s="2" t="s">
        <v>23</v>
      </c>
      <c r="D149" s="2" t="s">
        <v>19</v>
      </c>
      <c r="E149" s="2">
        <v>5</v>
      </c>
      <c r="F149" s="2">
        <v>226155</v>
      </c>
      <c r="G149" s="2">
        <v>11.63</v>
      </c>
      <c r="H149" s="2">
        <v>72842.820000000007</v>
      </c>
      <c r="I149" s="2" t="s">
        <v>20</v>
      </c>
      <c r="J149" s="2" t="s">
        <v>21</v>
      </c>
    </row>
    <row r="150" spans="1:10" x14ac:dyDescent="0.25">
      <c r="A150" s="3">
        <v>45440</v>
      </c>
      <c r="B150" s="2" t="s">
        <v>15</v>
      </c>
      <c r="C150" s="2" t="s">
        <v>23</v>
      </c>
      <c r="D150" s="2" t="s">
        <v>19</v>
      </c>
      <c r="E150" s="2">
        <v>1</v>
      </c>
      <c r="F150" s="2">
        <v>54066</v>
      </c>
      <c r="G150" s="2">
        <v>11.42</v>
      </c>
      <c r="H150" s="2">
        <v>14482.56</v>
      </c>
      <c r="I150" s="2" t="s">
        <v>13</v>
      </c>
      <c r="J150" s="2" t="s">
        <v>14</v>
      </c>
    </row>
    <row r="151" spans="1:10" x14ac:dyDescent="0.25">
      <c r="A151" s="3">
        <v>45441</v>
      </c>
      <c r="B151" s="2" t="s">
        <v>22</v>
      </c>
      <c r="C151" s="2" t="s">
        <v>16</v>
      </c>
      <c r="D151" s="2" t="s">
        <v>12</v>
      </c>
      <c r="E151" s="2">
        <v>8</v>
      </c>
      <c r="F151" s="2">
        <v>86720</v>
      </c>
      <c r="G151" s="2">
        <v>10.97</v>
      </c>
      <c r="H151" s="2">
        <v>18324.5</v>
      </c>
      <c r="I151" s="2" t="s">
        <v>13</v>
      </c>
      <c r="J151" s="2" t="s">
        <v>21</v>
      </c>
    </row>
    <row r="152" spans="1:10" x14ac:dyDescent="0.25">
      <c r="A152" s="3">
        <v>45442</v>
      </c>
      <c r="B152" s="2" t="s">
        <v>10</v>
      </c>
      <c r="C152" s="2" t="s">
        <v>23</v>
      </c>
      <c r="D152" s="2" t="s">
        <v>25</v>
      </c>
      <c r="E152" s="2">
        <v>8</v>
      </c>
      <c r="F152" s="2">
        <v>124864</v>
      </c>
      <c r="G152" s="2">
        <v>5.21</v>
      </c>
      <c r="H152" s="2">
        <v>29895.91</v>
      </c>
      <c r="I152" s="2" t="s">
        <v>17</v>
      </c>
      <c r="J152" s="2" t="s">
        <v>21</v>
      </c>
    </row>
    <row r="153" spans="1:10" x14ac:dyDescent="0.25">
      <c r="A153" s="3">
        <v>45443</v>
      </c>
      <c r="B153" s="2" t="s">
        <v>22</v>
      </c>
      <c r="C153" s="2" t="s">
        <v>16</v>
      </c>
      <c r="D153" s="2" t="s">
        <v>19</v>
      </c>
      <c r="E153" s="2">
        <v>5</v>
      </c>
      <c r="F153" s="2">
        <v>264135</v>
      </c>
      <c r="G153" s="2">
        <v>12.87</v>
      </c>
      <c r="H153" s="2">
        <v>66414.78</v>
      </c>
      <c r="I153" s="2" t="s">
        <v>20</v>
      </c>
      <c r="J153" s="2" t="s">
        <v>14</v>
      </c>
    </row>
    <row r="154" spans="1:10" x14ac:dyDescent="0.25">
      <c r="A154" s="3">
        <v>45444</v>
      </c>
      <c r="B154" s="2" t="s">
        <v>10</v>
      </c>
      <c r="C154" s="2" t="s">
        <v>11</v>
      </c>
      <c r="D154" s="2" t="s">
        <v>25</v>
      </c>
      <c r="E154" s="2">
        <v>8</v>
      </c>
      <c r="F154" s="2">
        <v>100848</v>
      </c>
      <c r="G154" s="2">
        <v>7.44</v>
      </c>
      <c r="H154" s="2">
        <v>19368.82</v>
      </c>
      <c r="I154" s="2" t="s">
        <v>13</v>
      </c>
      <c r="J154" s="2" t="s">
        <v>14</v>
      </c>
    </row>
    <row r="155" spans="1:10" x14ac:dyDescent="0.25">
      <c r="A155" s="3">
        <v>45445</v>
      </c>
      <c r="B155" s="2" t="s">
        <v>10</v>
      </c>
      <c r="C155" s="2" t="s">
        <v>16</v>
      </c>
      <c r="D155" s="2" t="s">
        <v>19</v>
      </c>
      <c r="E155" s="2">
        <v>10</v>
      </c>
      <c r="F155" s="2">
        <v>499780</v>
      </c>
      <c r="G155" s="2">
        <v>6.26</v>
      </c>
      <c r="H155" s="2">
        <v>91130.39</v>
      </c>
      <c r="I155" s="2" t="s">
        <v>20</v>
      </c>
      <c r="J155" s="2" t="s">
        <v>21</v>
      </c>
    </row>
    <row r="156" spans="1:10" x14ac:dyDescent="0.25">
      <c r="A156" s="3">
        <v>45446</v>
      </c>
      <c r="B156" s="2" t="s">
        <v>10</v>
      </c>
      <c r="C156" s="2" t="s">
        <v>16</v>
      </c>
      <c r="D156" s="2" t="s">
        <v>19</v>
      </c>
      <c r="E156" s="2">
        <v>9</v>
      </c>
      <c r="F156" s="2">
        <v>466362</v>
      </c>
      <c r="G156" s="2">
        <v>10.65</v>
      </c>
      <c r="H156" s="2">
        <v>139057.92000000001</v>
      </c>
      <c r="I156" s="2" t="s">
        <v>20</v>
      </c>
      <c r="J156" s="2" t="s">
        <v>14</v>
      </c>
    </row>
    <row r="157" spans="1:10" x14ac:dyDescent="0.25">
      <c r="A157" s="3">
        <v>45447</v>
      </c>
      <c r="B157" s="2" t="s">
        <v>15</v>
      </c>
      <c r="C157" s="2" t="s">
        <v>18</v>
      </c>
      <c r="D157" s="2" t="s">
        <v>25</v>
      </c>
      <c r="E157" s="2">
        <v>8</v>
      </c>
      <c r="F157" s="2">
        <v>115480</v>
      </c>
      <c r="G157" s="2">
        <v>5.69</v>
      </c>
      <c r="H157" s="2">
        <v>31402.27</v>
      </c>
      <c r="I157" s="2" t="s">
        <v>13</v>
      </c>
      <c r="J157" s="2" t="s">
        <v>14</v>
      </c>
    </row>
    <row r="158" spans="1:10" x14ac:dyDescent="0.25">
      <c r="A158" s="3">
        <v>45448</v>
      </c>
      <c r="B158" s="2" t="s">
        <v>24</v>
      </c>
      <c r="C158" s="2" t="s">
        <v>23</v>
      </c>
      <c r="D158" s="2" t="s">
        <v>12</v>
      </c>
      <c r="E158" s="2">
        <v>10</v>
      </c>
      <c r="F158" s="2">
        <v>104930</v>
      </c>
      <c r="G158" s="2">
        <v>12.65</v>
      </c>
      <c r="H158" s="2">
        <v>33476.839999999997</v>
      </c>
      <c r="I158" s="2" t="s">
        <v>13</v>
      </c>
      <c r="J158" s="2" t="s">
        <v>14</v>
      </c>
    </row>
    <row r="159" spans="1:10" x14ac:dyDescent="0.25">
      <c r="A159" s="3">
        <v>45449</v>
      </c>
      <c r="B159" s="2" t="s">
        <v>10</v>
      </c>
      <c r="C159" s="2" t="s">
        <v>16</v>
      </c>
      <c r="D159" s="2" t="s">
        <v>12</v>
      </c>
      <c r="E159" s="2">
        <v>4</v>
      </c>
      <c r="F159" s="2">
        <v>48668</v>
      </c>
      <c r="G159" s="2">
        <v>7.07</v>
      </c>
      <c r="H159" s="2">
        <v>10661.54</v>
      </c>
      <c r="I159" s="2" t="s">
        <v>20</v>
      </c>
      <c r="J159" s="2" t="s">
        <v>14</v>
      </c>
    </row>
    <row r="160" spans="1:10" x14ac:dyDescent="0.25">
      <c r="A160" s="3">
        <v>45450</v>
      </c>
      <c r="B160" s="2" t="s">
        <v>10</v>
      </c>
      <c r="C160" s="2" t="s">
        <v>16</v>
      </c>
      <c r="D160" s="2" t="s">
        <v>19</v>
      </c>
      <c r="E160" s="2">
        <v>3</v>
      </c>
      <c r="F160" s="2">
        <v>162129</v>
      </c>
      <c r="G160" s="2">
        <v>7.16</v>
      </c>
      <c r="H160" s="2">
        <v>32073.69</v>
      </c>
      <c r="I160" s="2" t="s">
        <v>13</v>
      </c>
      <c r="J160" s="2" t="s">
        <v>14</v>
      </c>
    </row>
    <row r="161" spans="1:10" x14ac:dyDescent="0.25">
      <c r="A161" s="3">
        <v>45451</v>
      </c>
      <c r="B161" s="2" t="s">
        <v>10</v>
      </c>
      <c r="C161" s="2" t="s">
        <v>16</v>
      </c>
      <c r="D161" s="2" t="s">
        <v>19</v>
      </c>
      <c r="E161" s="2">
        <v>7</v>
      </c>
      <c r="F161" s="2">
        <v>366667</v>
      </c>
      <c r="G161" s="2">
        <v>13.7</v>
      </c>
      <c r="H161" s="2">
        <v>98218.55</v>
      </c>
      <c r="I161" s="2" t="s">
        <v>20</v>
      </c>
      <c r="J161" s="2" t="s">
        <v>21</v>
      </c>
    </row>
    <row r="162" spans="1:10" x14ac:dyDescent="0.25">
      <c r="A162" s="3">
        <v>45452</v>
      </c>
      <c r="B162" s="2" t="s">
        <v>24</v>
      </c>
      <c r="C162" s="2" t="s">
        <v>23</v>
      </c>
      <c r="D162" s="2" t="s">
        <v>19</v>
      </c>
      <c r="E162" s="2">
        <v>4</v>
      </c>
      <c r="F162" s="2">
        <v>198880</v>
      </c>
      <c r="G162" s="2">
        <v>8.2899999999999991</v>
      </c>
      <c r="H162" s="2">
        <v>57232.03</v>
      </c>
      <c r="I162" s="2" t="s">
        <v>13</v>
      </c>
      <c r="J162" s="2" t="s">
        <v>14</v>
      </c>
    </row>
    <row r="163" spans="1:10" x14ac:dyDescent="0.25">
      <c r="A163" s="3">
        <v>45453</v>
      </c>
      <c r="B163" s="2" t="s">
        <v>22</v>
      </c>
      <c r="C163" s="2" t="s">
        <v>18</v>
      </c>
      <c r="D163" s="2" t="s">
        <v>19</v>
      </c>
      <c r="E163" s="2">
        <v>4</v>
      </c>
      <c r="F163" s="2">
        <v>197336</v>
      </c>
      <c r="G163" s="2">
        <v>6.48</v>
      </c>
      <c r="H163" s="2">
        <v>37522.699999999997</v>
      </c>
      <c r="I163" s="2" t="s">
        <v>17</v>
      </c>
      <c r="J163" s="2" t="s">
        <v>21</v>
      </c>
    </row>
    <row r="164" spans="1:10" x14ac:dyDescent="0.25">
      <c r="A164" s="3">
        <v>45454</v>
      </c>
      <c r="B164" s="2" t="s">
        <v>15</v>
      </c>
      <c r="C164" s="2" t="s">
        <v>18</v>
      </c>
      <c r="D164" s="2" t="s">
        <v>19</v>
      </c>
      <c r="E164" s="2">
        <v>9</v>
      </c>
      <c r="F164" s="2">
        <v>438147</v>
      </c>
      <c r="G164" s="2">
        <v>14.01</v>
      </c>
      <c r="H164" s="2">
        <v>127633.39</v>
      </c>
      <c r="I164" s="2" t="s">
        <v>13</v>
      </c>
      <c r="J164" s="2" t="s">
        <v>21</v>
      </c>
    </row>
    <row r="165" spans="1:10" x14ac:dyDescent="0.25">
      <c r="A165" s="3">
        <v>45455</v>
      </c>
      <c r="B165" s="2" t="s">
        <v>15</v>
      </c>
      <c r="C165" s="2" t="s">
        <v>23</v>
      </c>
      <c r="D165" s="2" t="s">
        <v>19</v>
      </c>
      <c r="E165" s="2">
        <v>2</v>
      </c>
      <c r="F165" s="2">
        <v>91954</v>
      </c>
      <c r="G165" s="2">
        <v>5.03</v>
      </c>
      <c r="H165" s="2">
        <v>16573.439999999999</v>
      </c>
      <c r="I165" s="2" t="s">
        <v>20</v>
      </c>
      <c r="J165" s="2" t="s">
        <v>21</v>
      </c>
    </row>
    <row r="166" spans="1:10" x14ac:dyDescent="0.25">
      <c r="A166" s="3">
        <v>45456</v>
      </c>
      <c r="B166" s="2" t="s">
        <v>15</v>
      </c>
      <c r="C166" s="2" t="s">
        <v>23</v>
      </c>
      <c r="D166" s="2" t="s">
        <v>12</v>
      </c>
      <c r="E166" s="2">
        <v>10</v>
      </c>
      <c r="F166" s="2">
        <v>123640</v>
      </c>
      <c r="G166" s="2">
        <v>13.58</v>
      </c>
      <c r="H166" s="2">
        <v>31328.18</v>
      </c>
      <c r="I166" s="2" t="s">
        <v>13</v>
      </c>
      <c r="J166" s="2" t="s">
        <v>14</v>
      </c>
    </row>
    <row r="167" spans="1:10" x14ac:dyDescent="0.25">
      <c r="A167" s="3">
        <v>45457</v>
      </c>
      <c r="B167" s="2" t="s">
        <v>24</v>
      </c>
      <c r="C167" s="2" t="s">
        <v>11</v>
      </c>
      <c r="D167" s="2" t="s">
        <v>25</v>
      </c>
      <c r="E167" s="2">
        <v>5</v>
      </c>
      <c r="F167" s="2">
        <v>88660</v>
      </c>
      <c r="G167" s="2">
        <v>6.45</v>
      </c>
      <c r="H167" s="2">
        <v>20866.740000000002</v>
      </c>
      <c r="I167" s="2" t="s">
        <v>20</v>
      </c>
      <c r="J167" s="2" t="s">
        <v>14</v>
      </c>
    </row>
    <row r="168" spans="1:10" x14ac:dyDescent="0.25">
      <c r="A168" s="3">
        <v>45458</v>
      </c>
      <c r="B168" s="2" t="s">
        <v>24</v>
      </c>
      <c r="C168" s="2" t="s">
        <v>23</v>
      </c>
      <c r="D168" s="2" t="s">
        <v>12</v>
      </c>
      <c r="E168" s="2">
        <v>9</v>
      </c>
      <c r="F168" s="2">
        <v>126405</v>
      </c>
      <c r="G168" s="2">
        <v>6.3</v>
      </c>
      <c r="H168" s="2">
        <v>21155.07</v>
      </c>
      <c r="I168" s="2" t="s">
        <v>13</v>
      </c>
      <c r="J168" s="2" t="s">
        <v>14</v>
      </c>
    </row>
    <row r="169" spans="1:10" x14ac:dyDescent="0.25">
      <c r="A169" s="3">
        <v>45459</v>
      </c>
      <c r="B169" s="2" t="s">
        <v>24</v>
      </c>
      <c r="C169" s="2" t="s">
        <v>11</v>
      </c>
      <c r="D169" s="2" t="s">
        <v>12</v>
      </c>
      <c r="E169" s="2">
        <v>1</v>
      </c>
      <c r="F169" s="2">
        <v>13539</v>
      </c>
      <c r="G169" s="2">
        <v>7.51</v>
      </c>
      <c r="H169" s="2">
        <v>3086.64</v>
      </c>
      <c r="I169" s="2" t="s">
        <v>20</v>
      </c>
      <c r="J169" s="2" t="s">
        <v>21</v>
      </c>
    </row>
    <row r="170" spans="1:10" x14ac:dyDescent="0.25">
      <c r="A170" s="3">
        <v>45460</v>
      </c>
      <c r="B170" s="2" t="s">
        <v>22</v>
      </c>
      <c r="C170" s="2" t="s">
        <v>23</v>
      </c>
      <c r="D170" s="2" t="s">
        <v>19</v>
      </c>
      <c r="E170" s="2">
        <v>2</v>
      </c>
      <c r="F170" s="2">
        <v>97500</v>
      </c>
      <c r="G170" s="2">
        <v>6.74</v>
      </c>
      <c r="H170" s="2">
        <v>20642.71</v>
      </c>
      <c r="I170" s="2" t="s">
        <v>20</v>
      </c>
      <c r="J170" s="2" t="s">
        <v>21</v>
      </c>
    </row>
    <row r="171" spans="1:10" x14ac:dyDescent="0.25">
      <c r="A171" s="3">
        <v>45461</v>
      </c>
      <c r="B171" s="2" t="s">
        <v>10</v>
      </c>
      <c r="C171" s="2" t="s">
        <v>23</v>
      </c>
      <c r="D171" s="2" t="s">
        <v>12</v>
      </c>
      <c r="E171" s="2">
        <v>1</v>
      </c>
      <c r="F171" s="2">
        <v>11435</v>
      </c>
      <c r="G171" s="2">
        <v>11.61</v>
      </c>
      <c r="H171" s="2">
        <v>2907.66</v>
      </c>
      <c r="I171" s="2" t="s">
        <v>13</v>
      </c>
      <c r="J171" s="2" t="s">
        <v>21</v>
      </c>
    </row>
    <row r="172" spans="1:10" x14ac:dyDescent="0.25">
      <c r="A172" s="3">
        <v>45462</v>
      </c>
      <c r="B172" s="2" t="s">
        <v>24</v>
      </c>
      <c r="C172" s="2" t="s">
        <v>18</v>
      </c>
      <c r="D172" s="2" t="s">
        <v>25</v>
      </c>
      <c r="E172" s="2">
        <v>3</v>
      </c>
      <c r="F172" s="2">
        <v>50385</v>
      </c>
      <c r="G172" s="2">
        <v>5.26</v>
      </c>
      <c r="H172" s="2">
        <v>8394.77</v>
      </c>
      <c r="I172" s="2" t="s">
        <v>20</v>
      </c>
      <c r="J172" s="2" t="s">
        <v>21</v>
      </c>
    </row>
    <row r="173" spans="1:10" x14ac:dyDescent="0.25">
      <c r="A173" s="3">
        <v>45463</v>
      </c>
      <c r="B173" s="2" t="s">
        <v>24</v>
      </c>
      <c r="C173" s="2" t="s">
        <v>18</v>
      </c>
      <c r="D173" s="2" t="s">
        <v>19</v>
      </c>
      <c r="E173" s="2">
        <v>8</v>
      </c>
      <c r="F173" s="2">
        <v>405600</v>
      </c>
      <c r="G173" s="2">
        <v>5.15</v>
      </c>
      <c r="H173" s="2">
        <v>80866.850000000006</v>
      </c>
      <c r="I173" s="2" t="s">
        <v>17</v>
      </c>
      <c r="J173" s="2" t="s">
        <v>21</v>
      </c>
    </row>
    <row r="174" spans="1:10" x14ac:dyDescent="0.25">
      <c r="A174" s="3">
        <v>45464</v>
      </c>
      <c r="B174" s="2" t="s">
        <v>24</v>
      </c>
      <c r="C174" s="2" t="s">
        <v>23</v>
      </c>
      <c r="D174" s="2" t="s">
        <v>25</v>
      </c>
      <c r="E174" s="2">
        <v>2</v>
      </c>
      <c r="F174" s="2">
        <v>26634</v>
      </c>
      <c r="G174" s="2">
        <v>12.9</v>
      </c>
      <c r="H174" s="2">
        <v>8710.02</v>
      </c>
      <c r="I174" s="2" t="s">
        <v>17</v>
      </c>
      <c r="J174" s="2" t="s">
        <v>14</v>
      </c>
    </row>
    <row r="175" spans="1:10" x14ac:dyDescent="0.25">
      <c r="A175" s="3">
        <v>45465</v>
      </c>
      <c r="B175" s="2" t="s">
        <v>22</v>
      </c>
      <c r="C175" s="2" t="s">
        <v>18</v>
      </c>
      <c r="D175" s="2" t="s">
        <v>12</v>
      </c>
      <c r="E175" s="2">
        <v>8</v>
      </c>
      <c r="F175" s="2">
        <v>98888</v>
      </c>
      <c r="G175" s="2">
        <v>7.38</v>
      </c>
      <c r="H175" s="2">
        <v>29256.79</v>
      </c>
      <c r="I175" s="2" t="s">
        <v>13</v>
      </c>
      <c r="J175" s="2" t="s">
        <v>14</v>
      </c>
    </row>
    <row r="176" spans="1:10" x14ac:dyDescent="0.25">
      <c r="A176" s="3">
        <v>45466</v>
      </c>
      <c r="B176" s="2" t="s">
        <v>24</v>
      </c>
      <c r="C176" s="2" t="s">
        <v>11</v>
      </c>
      <c r="D176" s="2" t="s">
        <v>25</v>
      </c>
      <c r="E176" s="2">
        <v>2</v>
      </c>
      <c r="F176" s="2">
        <v>29152</v>
      </c>
      <c r="G176" s="2">
        <v>8.24</v>
      </c>
      <c r="H176" s="2">
        <v>7314.7</v>
      </c>
      <c r="I176" s="2" t="s">
        <v>20</v>
      </c>
      <c r="J176" s="2" t="s">
        <v>21</v>
      </c>
    </row>
    <row r="177" spans="1:10" x14ac:dyDescent="0.25">
      <c r="A177" s="3">
        <v>45467</v>
      </c>
      <c r="B177" s="2" t="s">
        <v>22</v>
      </c>
      <c r="C177" s="2" t="s">
        <v>23</v>
      </c>
      <c r="D177" s="2" t="s">
        <v>19</v>
      </c>
      <c r="E177" s="2">
        <v>7</v>
      </c>
      <c r="F177" s="2">
        <v>374017</v>
      </c>
      <c r="G177" s="2">
        <v>6.74</v>
      </c>
      <c r="H177" s="2">
        <v>96574.19</v>
      </c>
      <c r="I177" s="2" t="s">
        <v>20</v>
      </c>
      <c r="J177" s="2" t="s">
        <v>14</v>
      </c>
    </row>
    <row r="178" spans="1:10" x14ac:dyDescent="0.25">
      <c r="A178" s="3">
        <v>45468</v>
      </c>
      <c r="B178" s="2" t="s">
        <v>10</v>
      </c>
      <c r="C178" s="2" t="s">
        <v>18</v>
      </c>
      <c r="D178" s="2" t="s">
        <v>25</v>
      </c>
      <c r="E178" s="2">
        <v>1</v>
      </c>
      <c r="F178" s="2">
        <v>13536</v>
      </c>
      <c r="G178" s="2">
        <v>5.52</v>
      </c>
      <c r="H178" s="2">
        <v>3417.91</v>
      </c>
      <c r="I178" s="2" t="s">
        <v>20</v>
      </c>
      <c r="J178" s="2" t="s">
        <v>21</v>
      </c>
    </row>
    <row r="179" spans="1:10" x14ac:dyDescent="0.25">
      <c r="A179" s="3">
        <v>45469</v>
      </c>
      <c r="B179" s="2" t="s">
        <v>22</v>
      </c>
      <c r="C179" s="2" t="s">
        <v>18</v>
      </c>
      <c r="D179" s="2" t="s">
        <v>12</v>
      </c>
      <c r="E179" s="2">
        <v>8</v>
      </c>
      <c r="F179" s="2">
        <v>83376</v>
      </c>
      <c r="G179" s="2">
        <v>12.42</v>
      </c>
      <c r="H179" s="2">
        <v>27993.43</v>
      </c>
      <c r="I179" s="2" t="s">
        <v>13</v>
      </c>
      <c r="J179" s="2" t="s">
        <v>21</v>
      </c>
    </row>
    <row r="180" spans="1:10" x14ac:dyDescent="0.25">
      <c r="A180" s="3">
        <v>45470</v>
      </c>
      <c r="B180" s="2" t="s">
        <v>15</v>
      </c>
      <c r="C180" s="2" t="s">
        <v>23</v>
      </c>
      <c r="D180" s="2" t="s">
        <v>12</v>
      </c>
      <c r="E180" s="2">
        <v>3</v>
      </c>
      <c r="F180" s="2">
        <v>37077</v>
      </c>
      <c r="G180" s="2">
        <v>10.26</v>
      </c>
      <c r="H180" s="2">
        <v>9590.5</v>
      </c>
      <c r="I180" s="2" t="s">
        <v>13</v>
      </c>
      <c r="J180" s="2" t="s">
        <v>21</v>
      </c>
    </row>
    <row r="181" spans="1:10" x14ac:dyDescent="0.25">
      <c r="A181" s="3">
        <v>45471</v>
      </c>
      <c r="B181" s="2" t="s">
        <v>24</v>
      </c>
      <c r="C181" s="2" t="s">
        <v>18</v>
      </c>
      <c r="D181" s="2" t="s">
        <v>19</v>
      </c>
      <c r="E181" s="2">
        <v>1</v>
      </c>
      <c r="F181" s="2">
        <v>54975</v>
      </c>
      <c r="G181" s="2">
        <v>12.46</v>
      </c>
      <c r="H181" s="2">
        <v>16638.939999999999</v>
      </c>
      <c r="I181" s="2" t="s">
        <v>17</v>
      </c>
      <c r="J181" s="2" t="s">
        <v>14</v>
      </c>
    </row>
    <row r="182" spans="1:10" x14ac:dyDescent="0.25">
      <c r="A182" s="3">
        <v>45472</v>
      </c>
      <c r="B182" s="2" t="s">
        <v>15</v>
      </c>
      <c r="C182" s="2" t="s">
        <v>16</v>
      </c>
      <c r="D182" s="2" t="s">
        <v>25</v>
      </c>
      <c r="E182" s="2">
        <v>9</v>
      </c>
      <c r="F182" s="2">
        <v>109008</v>
      </c>
      <c r="G182" s="2">
        <v>9.76</v>
      </c>
      <c r="H182" s="2">
        <v>28565.439999999999</v>
      </c>
      <c r="I182" s="2" t="s">
        <v>20</v>
      </c>
      <c r="J182" s="2" t="s">
        <v>14</v>
      </c>
    </row>
    <row r="183" spans="1:10" x14ac:dyDescent="0.25">
      <c r="A183" s="3">
        <v>45473</v>
      </c>
      <c r="B183" s="2" t="s">
        <v>24</v>
      </c>
      <c r="C183" s="2" t="s">
        <v>11</v>
      </c>
      <c r="D183" s="2" t="s">
        <v>19</v>
      </c>
      <c r="E183" s="2">
        <v>2</v>
      </c>
      <c r="F183" s="2">
        <v>105120</v>
      </c>
      <c r="G183" s="2">
        <v>12.78</v>
      </c>
      <c r="H183" s="2">
        <v>35573.49</v>
      </c>
      <c r="I183" s="2" t="s">
        <v>17</v>
      </c>
      <c r="J183" s="2" t="s">
        <v>14</v>
      </c>
    </row>
    <row r="184" spans="1:10" x14ac:dyDescent="0.25">
      <c r="A184" s="3">
        <v>45474</v>
      </c>
      <c r="B184" s="2" t="s">
        <v>10</v>
      </c>
      <c r="C184" s="2" t="s">
        <v>16</v>
      </c>
      <c r="D184" s="2" t="s">
        <v>25</v>
      </c>
      <c r="E184" s="2">
        <v>5</v>
      </c>
      <c r="F184" s="2">
        <v>80840</v>
      </c>
      <c r="G184" s="2">
        <v>10.130000000000001</v>
      </c>
      <c r="H184" s="2">
        <v>17289.97</v>
      </c>
      <c r="I184" s="2" t="s">
        <v>13</v>
      </c>
      <c r="J184" s="2" t="s">
        <v>21</v>
      </c>
    </row>
    <row r="185" spans="1:10" x14ac:dyDescent="0.25">
      <c r="A185" s="3">
        <v>45475</v>
      </c>
      <c r="B185" s="2" t="s">
        <v>22</v>
      </c>
      <c r="C185" s="2" t="s">
        <v>18</v>
      </c>
      <c r="D185" s="2" t="s">
        <v>25</v>
      </c>
      <c r="E185" s="2">
        <v>8</v>
      </c>
      <c r="F185" s="2">
        <v>111968</v>
      </c>
      <c r="G185" s="2">
        <v>6.09</v>
      </c>
      <c r="H185" s="2">
        <v>31896.37</v>
      </c>
      <c r="I185" s="2" t="s">
        <v>13</v>
      </c>
      <c r="J185" s="2" t="s">
        <v>14</v>
      </c>
    </row>
    <row r="186" spans="1:10" x14ac:dyDescent="0.25">
      <c r="A186" s="3">
        <v>45476</v>
      </c>
      <c r="B186" s="2" t="s">
        <v>24</v>
      </c>
      <c r="C186" s="2" t="s">
        <v>16</v>
      </c>
      <c r="D186" s="2" t="s">
        <v>25</v>
      </c>
      <c r="E186" s="2">
        <v>4</v>
      </c>
      <c r="F186" s="2">
        <v>67640</v>
      </c>
      <c r="G186" s="2">
        <v>10.039999999999999</v>
      </c>
      <c r="H186" s="2">
        <v>14114.03</v>
      </c>
      <c r="I186" s="2" t="s">
        <v>17</v>
      </c>
      <c r="J186" s="2" t="s">
        <v>14</v>
      </c>
    </row>
    <row r="187" spans="1:10" x14ac:dyDescent="0.25">
      <c r="A187" s="3">
        <v>45477</v>
      </c>
      <c r="B187" s="2" t="s">
        <v>15</v>
      </c>
      <c r="C187" s="2" t="s">
        <v>11</v>
      </c>
      <c r="D187" s="2" t="s">
        <v>25</v>
      </c>
      <c r="E187" s="2">
        <v>7</v>
      </c>
      <c r="F187" s="2">
        <v>103488</v>
      </c>
      <c r="G187" s="2">
        <v>14.45</v>
      </c>
      <c r="H187" s="2">
        <v>25732.91</v>
      </c>
      <c r="I187" s="2" t="s">
        <v>20</v>
      </c>
      <c r="J187" s="2" t="s">
        <v>14</v>
      </c>
    </row>
    <row r="188" spans="1:10" x14ac:dyDescent="0.25">
      <c r="A188" s="3">
        <v>45478</v>
      </c>
      <c r="B188" s="2" t="s">
        <v>22</v>
      </c>
      <c r="C188" s="2" t="s">
        <v>11</v>
      </c>
      <c r="D188" s="2" t="s">
        <v>25</v>
      </c>
      <c r="E188" s="2">
        <v>5</v>
      </c>
      <c r="F188" s="2">
        <v>84040</v>
      </c>
      <c r="G188" s="2">
        <v>5.43</v>
      </c>
      <c r="H188" s="2">
        <v>17103.29</v>
      </c>
      <c r="I188" s="2" t="s">
        <v>20</v>
      </c>
      <c r="J188" s="2" t="s">
        <v>21</v>
      </c>
    </row>
    <row r="189" spans="1:10" x14ac:dyDescent="0.25">
      <c r="A189" s="3">
        <v>45479</v>
      </c>
      <c r="B189" s="2" t="s">
        <v>24</v>
      </c>
      <c r="C189" s="2" t="s">
        <v>16</v>
      </c>
      <c r="D189" s="2" t="s">
        <v>25</v>
      </c>
      <c r="E189" s="2">
        <v>9</v>
      </c>
      <c r="F189" s="2">
        <v>143703</v>
      </c>
      <c r="G189" s="2">
        <v>12.83</v>
      </c>
      <c r="H189" s="2">
        <v>40228.519999999997</v>
      </c>
      <c r="I189" s="2" t="s">
        <v>20</v>
      </c>
      <c r="J189" s="2" t="s">
        <v>14</v>
      </c>
    </row>
    <row r="190" spans="1:10" x14ac:dyDescent="0.25">
      <c r="A190" s="3">
        <v>45480</v>
      </c>
      <c r="B190" s="2" t="s">
        <v>22</v>
      </c>
      <c r="C190" s="2" t="s">
        <v>23</v>
      </c>
      <c r="D190" s="2" t="s">
        <v>12</v>
      </c>
      <c r="E190" s="2">
        <v>9</v>
      </c>
      <c r="F190" s="2">
        <v>117810</v>
      </c>
      <c r="G190" s="2">
        <v>13.67</v>
      </c>
      <c r="H190" s="2">
        <v>34471.75</v>
      </c>
      <c r="I190" s="2" t="s">
        <v>13</v>
      </c>
      <c r="J190" s="2" t="s">
        <v>14</v>
      </c>
    </row>
    <row r="191" spans="1:10" x14ac:dyDescent="0.25">
      <c r="A191" s="3">
        <v>45481</v>
      </c>
      <c r="B191" s="2" t="s">
        <v>24</v>
      </c>
      <c r="C191" s="2" t="s">
        <v>23</v>
      </c>
      <c r="D191" s="2" t="s">
        <v>19</v>
      </c>
      <c r="E191" s="2">
        <v>4</v>
      </c>
      <c r="F191" s="2">
        <v>217472</v>
      </c>
      <c r="G191" s="2">
        <v>10.210000000000001</v>
      </c>
      <c r="H191" s="2">
        <v>54793.05</v>
      </c>
      <c r="I191" s="2" t="s">
        <v>20</v>
      </c>
      <c r="J191" s="2" t="s">
        <v>21</v>
      </c>
    </row>
    <row r="192" spans="1:10" x14ac:dyDescent="0.25">
      <c r="A192" s="3">
        <v>45482</v>
      </c>
      <c r="B192" s="2" t="s">
        <v>24</v>
      </c>
      <c r="C192" s="2" t="s">
        <v>16</v>
      </c>
      <c r="D192" s="2" t="s">
        <v>25</v>
      </c>
      <c r="E192" s="2">
        <v>1</v>
      </c>
      <c r="F192" s="2">
        <v>14606</v>
      </c>
      <c r="G192" s="2">
        <v>9.58</v>
      </c>
      <c r="H192" s="2">
        <v>3132.39</v>
      </c>
      <c r="I192" s="2" t="s">
        <v>20</v>
      </c>
      <c r="J192" s="2" t="s">
        <v>14</v>
      </c>
    </row>
    <row r="193" spans="1:10" x14ac:dyDescent="0.25">
      <c r="A193" s="3">
        <v>45483</v>
      </c>
      <c r="B193" s="2" t="s">
        <v>24</v>
      </c>
      <c r="C193" s="2" t="s">
        <v>18</v>
      </c>
      <c r="D193" s="2" t="s">
        <v>25</v>
      </c>
      <c r="E193" s="2">
        <v>3</v>
      </c>
      <c r="F193" s="2">
        <v>48171</v>
      </c>
      <c r="G193" s="2">
        <v>14.64</v>
      </c>
      <c r="H193" s="2">
        <v>11806.44</v>
      </c>
      <c r="I193" s="2" t="s">
        <v>17</v>
      </c>
      <c r="J193" s="2" t="s">
        <v>21</v>
      </c>
    </row>
    <row r="194" spans="1:10" x14ac:dyDescent="0.25">
      <c r="A194" s="3">
        <v>45484</v>
      </c>
      <c r="B194" s="2" t="s">
        <v>10</v>
      </c>
      <c r="C194" s="2" t="s">
        <v>16</v>
      </c>
      <c r="D194" s="2" t="s">
        <v>12</v>
      </c>
      <c r="E194" s="2">
        <v>10</v>
      </c>
      <c r="F194" s="2">
        <v>127190</v>
      </c>
      <c r="G194" s="2">
        <v>5.61</v>
      </c>
      <c r="H194" s="2">
        <v>29048.31</v>
      </c>
      <c r="I194" s="2" t="s">
        <v>17</v>
      </c>
      <c r="J194" s="2" t="s">
        <v>21</v>
      </c>
    </row>
    <row r="195" spans="1:10" x14ac:dyDescent="0.25">
      <c r="A195" s="3">
        <v>45485</v>
      </c>
      <c r="B195" s="2" t="s">
        <v>10</v>
      </c>
      <c r="C195" s="2" t="s">
        <v>18</v>
      </c>
      <c r="D195" s="2" t="s">
        <v>19</v>
      </c>
      <c r="E195" s="2">
        <v>9</v>
      </c>
      <c r="F195" s="2">
        <v>472374</v>
      </c>
      <c r="G195" s="2">
        <v>9.7899999999999991</v>
      </c>
      <c r="H195" s="2">
        <v>101013.96</v>
      </c>
      <c r="I195" s="2" t="s">
        <v>17</v>
      </c>
      <c r="J195" s="2" t="s">
        <v>14</v>
      </c>
    </row>
    <row r="196" spans="1:10" x14ac:dyDescent="0.25">
      <c r="A196" s="3">
        <v>45486</v>
      </c>
      <c r="B196" s="2" t="s">
        <v>10</v>
      </c>
      <c r="C196" s="2" t="s">
        <v>16</v>
      </c>
      <c r="D196" s="2" t="s">
        <v>25</v>
      </c>
      <c r="E196" s="2">
        <v>3</v>
      </c>
      <c r="F196" s="2">
        <v>37836</v>
      </c>
      <c r="G196" s="2">
        <v>9.02</v>
      </c>
      <c r="H196" s="2">
        <v>8651.6299999999992</v>
      </c>
      <c r="I196" s="2" t="s">
        <v>17</v>
      </c>
      <c r="J196" s="2" t="s">
        <v>21</v>
      </c>
    </row>
    <row r="197" spans="1:10" x14ac:dyDescent="0.25">
      <c r="A197" s="3">
        <v>45487</v>
      </c>
      <c r="B197" s="2" t="s">
        <v>24</v>
      </c>
      <c r="C197" s="2" t="s">
        <v>23</v>
      </c>
      <c r="D197" s="2" t="s">
        <v>25</v>
      </c>
      <c r="E197" s="2">
        <v>10</v>
      </c>
      <c r="F197" s="2">
        <v>176740</v>
      </c>
      <c r="G197" s="2">
        <v>11.86</v>
      </c>
      <c r="H197" s="2">
        <v>52394.35</v>
      </c>
      <c r="I197" s="2" t="s">
        <v>13</v>
      </c>
      <c r="J197" s="2" t="s">
        <v>14</v>
      </c>
    </row>
    <row r="198" spans="1:10" x14ac:dyDescent="0.25">
      <c r="A198" s="3">
        <v>45488</v>
      </c>
      <c r="B198" s="2" t="s">
        <v>24</v>
      </c>
      <c r="C198" s="2" t="s">
        <v>11</v>
      </c>
      <c r="D198" s="2" t="s">
        <v>25</v>
      </c>
      <c r="E198" s="2">
        <v>9</v>
      </c>
      <c r="F198" s="2">
        <v>136017</v>
      </c>
      <c r="G198" s="2">
        <v>9.9</v>
      </c>
      <c r="H198" s="2">
        <v>35363.17</v>
      </c>
      <c r="I198" s="2" t="s">
        <v>20</v>
      </c>
      <c r="J198" s="2" t="s">
        <v>21</v>
      </c>
    </row>
    <row r="199" spans="1:10" x14ac:dyDescent="0.25">
      <c r="A199" s="3">
        <v>45489</v>
      </c>
      <c r="B199" s="2" t="s">
        <v>22</v>
      </c>
      <c r="C199" s="2" t="s">
        <v>18</v>
      </c>
      <c r="D199" s="2" t="s">
        <v>12</v>
      </c>
      <c r="E199" s="2">
        <v>1</v>
      </c>
      <c r="F199" s="2">
        <v>10560</v>
      </c>
      <c r="G199" s="2">
        <v>14.1</v>
      </c>
      <c r="H199" s="2">
        <v>3551.21</v>
      </c>
      <c r="I199" s="2" t="s">
        <v>13</v>
      </c>
      <c r="J199" s="2" t="s">
        <v>14</v>
      </c>
    </row>
    <row r="200" spans="1:10" x14ac:dyDescent="0.25">
      <c r="A200" s="3">
        <v>45490</v>
      </c>
      <c r="B200" s="2" t="s">
        <v>15</v>
      </c>
      <c r="C200" s="2" t="s">
        <v>23</v>
      </c>
      <c r="D200" s="2" t="s">
        <v>19</v>
      </c>
      <c r="E200" s="2">
        <v>2</v>
      </c>
      <c r="F200" s="2">
        <v>104220</v>
      </c>
      <c r="G200" s="2">
        <v>5.73</v>
      </c>
      <c r="H200" s="2">
        <v>29625.89</v>
      </c>
      <c r="I200" s="2" t="s">
        <v>20</v>
      </c>
      <c r="J200" s="2" t="s">
        <v>21</v>
      </c>
    </row>
    <row r="201" spans="1:10" x14ac:dyDescent="0.25">
      <c r="A201" s="3">
        <v>45491</v>
      </c>
      <c r="B201" s="2" t="s">
        <v>10</v>
      </c>
      <c r="C201" s="2" t="s">
        <v>11</v>
      </c>
      <c r="D201" s="2" t="s">
        <v>25</v>
      </c>
      <c r="E201" s="2">
        <v>3</v>
      </c>
      <c r="F201" s="2">
        <v>53055</v>
      </c>
      <c r="G201" s="2">
        <v>5.81</v>
      </c>
      <c r="H201" s="2">
        <v>14798.93</v>
      </c>
      <c r="I201" s="2" t="s">
        <v>13</v>
      </c>
      <c r="J20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Kushwah</dc:creator>
  <cp:lastModifiedBy>Devendra Kushwah</cp:lastModifiedBy>
  <dcterms:created xsi:type="dcterms:W3CDTF">2026-05-22T09:45:41Z</dcterms:created>
  <dcterms:modified xsi:type="dcterms:W3CDTF">2026-05-22T12:33:46Z</dcterms:modified>
</cp:coreProperties>
</file>