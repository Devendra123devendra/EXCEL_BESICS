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ndra kushwah\OneDrive\Desktop\"/>
    </mc:Choice>
  </mc:AlternateContent>
  <xr:revisionPtr revIDLastSave="0" documentId="8_{DA4143F6-06C6-489C-83E6-031CCF8F5328}" xr6:coauthVersionLast="47" xr6:coauthVersionMax="47" xr10:uidLastSave="{00000000-0000-0000-0000-000000000000}"/>
  <bookViews>
    <workbookView xWindow="-120" yWindow="-120" windowWidth="29040" windowHeight="15720" xr2:uid="{3FA7E611-4A12-4914-8F8D-715AA50B549A}"/>
  </bookViews>
  <sheets>
    <sheet name="Sheet1" sheetId="1" r:id="rId1"/>
  </sheets>
  <definedNames>
    <definedName name="_xlnm._FilterDatabase" localSheetId="0" hidden="1">Sheet1!$E$14:$N$214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3" i="1" l="1"/>
  <c r="X26" i="1"/>
  <c r="X31" i="1"/>
  <c r="X32" i="1"/>
  <c r="X29" i="1"/>
  <c r="X17" i="1"/>
  <c r="W18" i="1" s="1"/>
  <c r="X27" i="1"/>
  <c r="X28" i="1"/>
  <c r="X30" i="1"/>
  <c r="X18" i="1"/>
  <c r="X19" i="1"/>
  <c r="X20" i="1"/>
  <c r="X21" i="1"/>
  <c r="X22" i="1"/>
  <c r="X23" i="1"/>
  <c r="X24" i="1"/>
  <c r="X25" i="1"/>
  <c r="W19" i="1"/>
  <c r="W21" i="1"/>
  <c r="W22" i="1"/>
  <c r="W23" i="1"/>
  <c r="W24" i="1"/>
  <c r="W25" i="1"/>
  <c r="W26" i="1"/>
  <c r="W20" i="1"/>
  <c r="W17" i="1"/>
</calcChain>
</file>

<file path=xl/sharedStrings.xml><?xml version="1.0" encoding="utf-8"?>
<sst xmlns="http://schemas.openxmlformats.org/spreadsheetml/2006/main" count="1031" uniqueCount="37">
  <si>
    <t>Date</t>
  </si>
  <si>
    <t>Region</t>
  </si>
  <si>
    <t>Salesperson</t>
  </si>
  <si>
    <t>Product</t>
  </si>
  <si>
    <t>Units Sold</t>
  </si>
  <si>
    <t>Total sales</t>
  </si>
  <si>
    <t>Discount %</t>
  </si>
  <si>
    <t>Profit</t>
  </si>
  <si>
    <t>Category</t>
  </si>
  <si>
    <t>Customer Type</t>
  </si>
  <si>
    <t>North</t>
  </si>
  <si>
    <t>Ramesh</t>
  </si>
  <si>
    <t>Tablet</t>
  </si>
  <si>
    <t>Gadgets</t>
  </si>
  <si>
    <t>Retail</t>
  </si>
  <si>
    <t>South</t>
  </si>
  <si>
    <t>Sita</t>
  </si>
  <si>
    <t>Accessories</t>
  </si>
  <si>
    <t>Ravi</t>
  </si>
  <si>
    <t>Laptop</t>
  </si>
  <si>
    <t>Electronics</t>
  </si>
  <si>
    <t>Wholesale</t>
  </si>
  <si>
    <t>East</t>
  </si>
  <si>
    <t>John</t>
  </si>
  <si>
    <t>West</t>
  </si>
  <si>
    <t>Phone</t>
  </si>
  <si>
    <t>[;ll[Pegm[bg[oaq,m[k</t>
  </si>
  <si>
    <t>direction</t>
  </si>
  <si>
    <t>south</t>
  </si>
  <si>
    <t>east</t>
  </si>
  <si>
    <t>gszdhttdj</t>
  </si>
  <si>
    <t>banana</t>
  </si>
  <si>
    <t>papaya</t>
  </si>
  <si>
    <t>apple</t>
  </si>
  <si>
    <t>mango</t>
  </si>
  <si>
    <t/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</si>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</sst>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/>
        </patternFill>
      </fill>
    </dxf>
  </dxfs>
  <tableStyles count="0" defaultTableStyle="TableStyleMedium2" defaultPivotStyle="PivotStyleLight16"/>
  <colors>
    <mruColors>
      <color rgb="FF783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A3D2-F716-4EFD-979F-0C47AFE3BADD}">
  <sheetPr filterMode="1"/>
  <dimension ref="B14:X214"/>
  <sheetViews>
    <sheetView tabSelected="1" topLeftCell="E18" zoomScale="162" workbookViewId="0">
      <selection activeCell="E18" sqref="E18:E213"/>
    </sheetView>
  </sheetViews>
  <sheetFormatPr defaultRowHeight="15" x14ac:dyDescent="0.25"/>
  <cols>
    <col min="2" max="2" width="17.7109375" customWidth="1"/>
    <col min="5" max="5" width="18.140625" customWidth="1"/>
    <col min="6" max="6" width="7.140625" bestFit="1" customWidth="1"/>
    <col min="7" max="7" width="11.7109375" bestFit="1" customWidth="1"/>
    <col min="8" max="8" width="7.85546875" bestFit="1" customWidth="1"/>
    <col min="9" max="9" width="10" bestFit="1" customWidth="1"/>
    <col min="10" max="10" width="10.28515625" bestFit="1" customWidth="1"/>
    <col min="11" max="11" width="10.7109375" bestFit="1" customWidth="1"/>
    <col min="12" max="12" width="10" bestFit="1" customWidth="1"/>
    <col min="13" max="13" width="11.28515625" bestFit="1" customWidth="1"/>
    <col min="14" max="14" width="14.42578125" bestFit="1" customWidth="1"/>
    <col min="22" max="22" width="23.140625" customWidth="1"/>
    <col min="24" max="24" width="29" customWidth="1"/>
  </cols>
  <sheetData>
    <row r="14" spans="5:22" x14ac:dyDescent="0.25">
      <c r="E14" s="1" t="s">
        <v>0</v>
      </c>
      <c r="F14" s="1" t="s">
        <v>1</v>
      </c>
      <c r="G14" s="1" t="s">
        <v>2</v>
      </c>
      <c r="H14" s="1" t="s">
        <v>3</v>
      </c>
      <c r="I14" s="1" t="s">
        <v>4</v>
      </c>
      <c r="J14" s="1" t="s">
        <v>5</v>
      </c>
      <c r="K14" s="1" t="s">
        <v>6</v>
      </c>
      <c r="L14" s="1" t="s">
        <v>7</v>
      </c>
      <c r="M14" s="2" t="s">
        <v>8</v>
      </c>
      <c r="N14" s="1" t="s">
        <v>9</v>
      </c>
    </row>
    <row r="15" spans="5:22" hidden="1" x14ac:dyDescent="0.25">
      <c r="E15" s="3">
        <v>45292</v>
      </c>
      <c r="F15" s="4" t="s">
        <v>10</v>
      </c>
      <c r="G15" s="4" t="s">
        <v>11</v>
      </c>
      <c r="H15" s="4" t="s">
        <v>12</v>
      </c>
      <c r="I15" s="4">
        <v>5</v>
      </c>
      <c r="J15" s="4">
        <v>60030</v>
      </c>
      <c r="K15" s="4">
        <v>14.03</v>
      </c>
      <c r="L15" s="4">
        <v>16617.37</v>
      </c>
      <c r="M15" s="4" t="s">
        <v>13</v>
      </c>
      <c r="N15" s="4" t="s">
        <v>14</v>
      </c>
    </row>
    <row r="16" spans="5:22" hidden="1" x14ac:dyDescent="0.25">
      <c r="E16" s="3">
        <v>45293</v>
      </c>
      <c r="F16" s="4" t="s">
        <v>15</v>
      </c>
      <c r="G16" s="4" t="s">
        <v>16</v>
      </c>
      <c r="H16" s="4" t="s">
        <v>12</v>
      </c>
      <c r="I16" s="4">
        <v>2</v>
      </c>
      <c r="J16" s="4">
        <v>28934</v>
      </c>
      <c r="K16" s="4">
        <v>5.46</v>
      </c>
      <c r="L16" s="4">
        <v>8148.82</v>
      </c>
      <c r="M16" s="4" t="s">
        <v>17</v>
      </c>
      <c r="N16" s="4" t="s">
        <v>14</v>
      </c>
      <c r="V16" s="1" t="s">
        <v>0</v>
      </c>
    </row>
    <row r="17" spans="5:24" hidden="1" x14ac:dyDescent="0.25">
      <c r="E17" s="3">
        <v>45294</v>
      </c>
      <c r="F17" s="4" t="s">
        <v>10</v>
      </c>
      <c r="G17" s="4" t="s">
        <v>18</v>
      </c>
      <c r="H17" s="4" t="s">
        <v>19</v>
      </c>
      <c r="I17" s="4">
        <v>1</v>
      </c>
      <c r="J17" s="4">
        <v>46535</v>
      </c>
      <c r="K17" s="4">
        <v>12.96</v>
      </c>
      <c r="L17" s="4">
        <v>14486.59</v>
      </c>
      <c r="M17" s="4" t="s">
        <v>20</v>
      </c>
      <c r="N17" s="4" t="s">
        <v>14</v>
      </c>
      <c r="V17" s="3">
        <v>45292</v>
      </c>
      <c r="W17">
        <f>V18-V17</f>
        <v>367</v>
      </c>
      <c r="X17" t="str">
        <f>DATEDIF(V17,V18,"Y")&amp;" Years "&amp;DATEDIF(V17,V18,"YM")&amp;" Months "&amp;DATEDIF(V17,V18,"MD")&amp;" Days"</f>
        <v>1 Years 0 Months 1 Days</v>
      </c>
    </row>
    <row r="18" spans="5:24" x14ac:dyDescent="0.25">
      <c r="E18" s="3" t="s">
        <v>36</v>
      </c>
      <c r="F18" s="4" t="s">
        <v>15</v>
      </c>
      <c r="G18" s="4" t="s">
        <v>23</v>
      </c>
      <c r="H18" s="4" t="s">
        <v>19</v>
      </c>
      <c r="I18" s="4">
        <v>2</v>
      </c>
      <c r="J18" s="4">
        <v>91954</v>
      </c>
      <c r="K18" s="4">
        <v>5.03</v>
      </c>
      <c r="L18" s="4">
        <v>16573.439999999999</v>
      </c>
      <c r="M18" s="4" t="s">
        <v>20</v>
      </c>
      <c r="N18" s="4" t="s">
        <v>21</v>
      </c>
      <c r="V18" s="3">
        <v>45659</v>
      </c>
      <c r="W18" t="b">
        <f>X17=DATEDIF(V17,V18,"d")</f>
        <v>0</v>
      </c>
      <c r="X18" t="str">
        <f t="shared" ref="X18:X25" si="0">DATEDIF(V18,V19,"Y")&amp;" Years "&amp;DATEDIF(V18,V19,"YM")&amp;" Months "&amp;DATEDIF(V18,V19,"MD")&amp;" Days"</f>
        <v>1 Years 0 Months 1 Days</v>
      </c>
    </row>
    <row r="19" spans="5:24" x14ac:dyDescent="0.25">
      <c r="E19" s="3">
        <v>45311</v>
      </c>
      <c r="F19" s="4" t="s">
        <v>22</v>
      </c>
      <c r="G19" s="4" t="s">
        <v>16</v>
      </c>
      <c r="H19" s="4" t="s">
        <v>19</v>
      </c>
      <c r="I19" s="4">
        <v>9</v>
      </c>
      <c r="J19" s="4" t="s">
        <v>26</v>
      </c>
      <c r="K19" s="4">
        <v>5.09</v>
      </c>
      <c r="L19" s="4">
        <v>116250.92</v>
      </c>
      <c r="M19" s="4" t="s">
        <v>13</v>
      </c>
      <c r="N19" s="4" t="s">
        <v>21</v>
      </c>
      <c r="V19" s="3">
        <v>46025</v>
      </c>
      <c r="W19">
        <f t="shared" ref="W19:W26" si="1">DATEDIF(V17,V18,"m")</f>
        <v>12</v>
      </c>
      <c r="X19" t="str">
        <f t="shared" si="0"/>
        <v>2 Years 0 Months 1 Days</v>
      </c>
    </row>
    <row r="20" spans="5:24" hidden="1" x14ac:dyDescent="0.25">
      <c r="E20" s="3">
        <v>45297</v>
      </c>
      <c r="F20" s="4" t="s">
        <v>22</v>
      </c>
      <c r="G20" s="4" t="s">
        <v>11</v>
      </c>
      <c r="H20" s="4" t="s">
        <v>19</v>
      </c>
      <c r="I20" s="4">
        <v>7</v>
      </c>
      <c r="J20" s="4">
        <v>354018</v>
      </c>
      <c r="K20" s="4">
        <v>6.46</v>
      </c>
      <c r="L20" s="4">
        <v>89491.81</v>
      </c>
      <c r="M20" s="4" t="s">
        <v>20</v>
      </c>
      <c r="N20" s="4" t="s">
        <v>14</v>
      </c>
      <c r="V20" s="3">
        <v>46756</v>
      </c>
      <c r="W20">
        <f>DATEDIF(V18,V19,"m")</f>
        <v>12</v>
      </c>
      <c r="X20" t="str">
        <f t="shared" si="0"/>
        <v>1 Years 0 Months 1 Days</v>
      </c>
    </row>
    <row r="21" spans="5:24" hidden="1" x14ac:dyDescent="0.25">
      <c r="E21" s="3">
        <v>45298</v>
      </c>
      <c r="F21" s="4" t="s">
        <v>22</v>
      </c>
      <c r="G21" s="4" t="s">
        <v>16</v>
      </c>
      <c r="H21" s="4" t="s">
        <v>19</v>
      </c>
      <c r="I21" s="4">
        <v>6</v>
      </c>
      <c r="J21" s="4">
        <v>280044</v>
      </c>
      <c r="K21" s="4">
        <v>10.31</v>
      </c>
      <c r="L21" s="4">
        <v>54196.27</v>
      </c>
      <c r="M21" s="4" t="s">
        <v>20</v>
      </c>
      <c r="N21" s="4" t="s">
        <v>14</v>
      </c>
      <c r="V21" s="3">
        <v>47123</v>
      </c>
      <c r="W21">
        <f t="shared" si="1"/>
        <v>24</v>
      </c>
      <c r="X21" t="str">
        <f t="shared" si="0"/>
        <v>0 Years 0 Months 1 Days</v>
      </c>
    </row>
    <row r="22" spans="5:24" x14ac:dyDescent="0.25">
      <c r="E22" s="3">
        <v>45385</v>
      </c>
      <c r="F22" s="4" t="s">
        <v>15</v>
      </c>
      <c r="G22" s="4" t="s">
        <v>18</v>
      </c>
      <c r="H22" s="4" t="s">
        <v>12</v>
      </c>
      <c r="I22" s="4">
        <v>3</v>
      </c>
      <c r="J22" s="4">
        <v>32082</v>
      </c>
      <c r="K22" s="4">
        <v>5.14</v>
      </c>
      <c r="L22" s="4">
        <v>7239.14</v>
      </c>
      <c r="M22" s="4" t="s">
        <v>20</v>
      </c>
      <c r="N22" s="4" t="s">
        <v>21</v>
      </c>
      <c r="V22" s="3">
        <v>47124</v>
      </c>
      <c r="W22">
        <f t="shared" si="1"/>
        <v>12</v>
      </c>
      <c r="X22" t="str">
        <f t="shared" si="0"/>
        <v>0 Years 0 Months 1 Days</v>
      </c>
    </row>
    <row r="23" spans="5:24" hidden="1" x14ac:dyDescent="0.25">
      <c r="E23" s="3">
        <v>45300</v>
      </c>
      <c r="F23" s="4" t="s">
        <v>22</v>
      </c>
      <c r="G23" s="4" t="s">
        <v>11</v>
      </c>
      <c r="H23" s="4" t="s">
        <v>12</v>
      </c>
      <c r="I23" s="4">
        <v>8</v>
      </c>
      <c r="J23" s="4">
        <v>115136</v>
      </c>
      <c r="K23" s="4">
        <v>12.93</v>
      </c>
      <c r="L23" s="4">
        <v>33122.120000000003</v>
      </c>
      <c r="M23" s="4" t="s">
        <v>17</v>
      </c>
      <c r="N23" s="4" t="s">
        <v>14</v>
      </c>
      <c r="V23" s="3">
        <v>47125</v>
      </c>
      <c r="W23">
        <f t="shared" si="1"/>
        <v>0</v>
      </c>
      <c r="X23" t="str">
        <f t="shared" si="0"/>
        <v>0 Years 0 Months 1 Days</v>
      </c>
    </row>
    <row r="24" spans="5:24" hidden="1" x14ac:dyDescent="0.25">
      <c r="E24" s="3">
        <v>45301</v>
      </c>
      <c r="F24" s="4" t="s">
        <v>10</v>
      </c>
      <c r="G24" s="4" t="s">
        <v>18</v>
      </c>
      <c r="H24" s="4" t="s">
        <v>19</v>
      </c>
      <c r="I24" s="4">
        <v>9</v>
      </c>
      <c r="J24" s="4">
        <v>448227</v>
      </c>
      <c r="K24" s="4">
        <v>6.7</v>
      </c>
      <c r="L24" s="4">
        <v>96601.5</v>
      </c>
      <c r="M24" s="4" t="s">
        <v>13</v>
      </c>
      <c r="N24" s="4" t="s">
        <v>14</v>
      </c>
      <c r="V24" s="3">
        <v>47126</v>
      </c>
      <c r="W24">
        <f t="shared" si="1"/>
        <v>0</v>
      </c>
      <c r="X24" t="str">
        <f t="shared" si="0"/>
        <v>0 Years 0 Months 1 Days</v>
      </c>
    </row>
    <row r="25" spans="5:24" hidden="1" x14ac:dyDescent="0.25">
      <c r="E25" s="3">
        <v>45302</v>
      </c>
      <c r="F25" s="4" t="s">
        <v>22</v>
      </c>
      <c r="G25" s="4" t="s">
        <v>16</v>
      </c>
      <c r="H25" s="4" t="s">
        <v>12</v>
      </c>
      <c r="I25" s="4">
        <v>2</v>
      </c>
      <c r="J25" s="4">
        <v>20750</v>
      </c>
      <c r="K25" s="4">
        <v>5.79</v>
      </c>
      <c r="L25" s="4">
        <v>5797.7</v>
      </c>
      <c r="M25" s="4" t="s">
        <v>13</v>
      </c>
      <c r="N25" s="4" t="s">
        <v>14</v>
      </c>
      <c r="V25" s="3">
        <v>47127</v>
      </c>
      <c r="W25">
        <f t="shared" si="1"/>
        <v>0</v>
      </c>
      <c r="X25" t="str">
        <f t="shared" si="0"/>
        <v>0 Years 0 Months 1 Days</v>
      </c>
    </row>
    <row r="26" spans="5:24" x14ac:dyDescent="0.25">
      <c r="E26" s="3">
        <v>45463</v>
      </c>
      <c r="F26" s="4" t="s">
        <v>24</v>
      </c>
      <c r="G26" s="4" t="s">
        <v>18</v>
      </c>
      <c r="H26" s="4" t="s">
        <v>19</v>
      </c>
      <c r="I26" s="4">
        <v>8</v>
      </c>
      <c r="J26" s="4">
        <v>405600</v>
      </c>
      <c r="K26" s="4">
        <v>5.15</v>
      </c>
      <c r="L26" s="4">
        <v>80866.850000000006</v>
      </c>
      <c r="M26" s="4" t="s">
        <v>17</v>
      </c>
      <c r="N26" s="4" t="s">
        <v>21</v>
      </c>
      <c r="V26" s="3">
        <v>47128</v>
      </c>
      <c r="W26">
        <f t="shared" si="1"/>
        <v>0</v>
      </c>
      <c r="X26" t="str">
        <f>DATEDIF(V26,V27,"Y")&amp;" Years "&amp;DATEDIF(V26,V27,"YM")&amp;" Months "&amp;DATEDIF(V26,V27,"MD")&amp;" Days"</f>
        <v>0 Years 0 Months 1 Days</v>
      </c>
    </row>
    <row r="27" spans="5:24" x14ac:dyDescent="0.25">
      <c r="E27" s="3">
        <v>45442</v>
      </c>
      <c r="F27" s="4" t="s">
        <v>10</v>
      </c>
      <c r="G27" s="4" t="s">
        <v>23</v>
      </c>
      <c r="H27" s="4" t="s">
        <v>25</v>
      </c>
      <c r="I27" s="4">
        <v>8</v>
      </c>
      <c r="J27" s="4">
        <v>124864</v>
      </c>
      <c r="K27" s="4">
        <v>5.21</v>
      </c>
      <c r="L27" s="4">
        <v>29895.91</v>
      </c>
      <c r="M27" s="4" t="s">
        <v>17</v>
      </c>
      <c r="N27" s="4" t="s">
        <v>21</v>
      </c>
      <c r="V27" s="3">
        <v>47129</v>
      </c>
      <c r="X27" t="str">
        <f t="shared" ref="X27:X32" si="2">DATEDIF(V27,V28,"Y")&amp;" Years "&amp;DATEDIF(V27,V28,"YM")&amp;" Months "&amp;DATEDIF(V27,V28,"MD")&amp;" Days"</f>
        <v>0 Years 0 Months 1 Days</v>
      </c>
    </row>
    <row r="28" spans="5:24" hidden="1" x14ac:dyDescent="0.25">
      <c r="E28" s="3">
        <v>45305</v>
      </c>
      <c r="F28" s="4" t="s">
        <v>22</v>
      </c>
      <c r="G28" s="4" t="s">
        <v>23</v>
      </c>
      <c r="H28" s="4" t="s">
        <v>19</v>
      </c>
      <c r="I28" s="4">
        <v>5</v>
      </c>
      <c r="J28" s="4">
        <v>230845</v>
      </c>
      <c r="K28" s="4">
        <v>7.41</v>
      </c>
      <c r="L28" s="4">
        <v>49668.15</v>
      </c>
      <c r="M28" s="4" t="s">
        <v>17</v>
      </c>
      <c r="N28" s="4" t="s">
        <v>14</v>
      </c>
      <c r="V28" s="3">
        <v>47130</v>
      </c>
      <c r="X28" t="str">
        <f t="shared" si="2"/>
        <v>0 Years 0 Months 1 Days</v>
      </c>
    </row>
    <row r="29" spans="5:24" x14ac:dyDescent="0.25">
      <c r="E29" s="3">
        <v>45462</v>
      </c>
      <c r="F29" s="4" t="s">
        <v>24</v>
      </c>
      <c r="G29" s="4" t="s">
        <v>18</v>
      </c>
      <c r="H29" s="4" t="s">
        <v>25</v>
      </c>
      <c r="I29" s="4">
        <v>3</v>
      </c>
      <c r="J29" s="4">
        <v>50385</v>
      </c>
      <c r="K29" s="4">
        <v>5.26</v>
      </c>
      <c r="L29" s="4">
        <v>8394.77</v>
      </c>
      <c r="M29" s="4" t="s">
        <v>20</v>
      </c>
      <c r="N29" s="4" t="s">
        <v>21</v>
      </c>
      <c r="V29" s="3">
        <v>47131</v>
      </c>
      <c r="X29" t="str">
        <f t="shared" si="2"/>
        <v>0 Years 0 Months 1 Days</v>
      </c>
    </row>
    <row r="30" spans="5:24" hidden="1" x14ac:dyDescent="0.25">
      <c r="E30" s="3">
        <v>45307</v>
      </c>
      <c r="F30" s="4" t="s">
        <v>22</v>
      </c>
      <c r="G30" s="4" t="s">
        <v>16</v>
      </c>
      <c r="H30" s="4" t="s">
        <v>12</v>
      </c>
      <c r="I30" s="4">
        <v>6</v>
      </c>
      <c r="J30" s="4">
        <v>62748</v>
      </c>
      <c r="K30" s="4">
        <v>6.43</v>
      </c>
      <c r="L30" s="4">
        <v>12365.22</v>
      </c>
      <c r="M30" s="4" t="s">
        <v>13</v>
      </c>
      <c r="N30" s="4" t="s">
        <v>14</v>
      </c>
      <c r="V30" s="3">
        <v>47132</v>
      </c>
      <c r="X30" t="str">
        <f t="shared" si="2"/>
        <v>0 Years 0 Months 1 Days</v>
      </c>
    </row>
    <row r="31" spans="5:24" x14ac:dyDescent="0.25">
      <c r="E31" s="3">
        <v>45424</v>
      </c>
      <c r="F31" s="4" t="s">
        <v>24</v>
      </c>
      <c r="G31" s="4" t="s">
        <v>18</v>
      </c>
      <c r="H31" s="4" t="s">
        <v>12</v>
      </c>
      <c r="I31" s="4">
        <v>10</v>
      </c>
      <c r="J31" s="4">
        <v>121980</v>
      </c>
      <c r="K31" s="4">
        <v>5.33</v>
      </c>
      <c r="L31" s="4">
        <v>21487.82</v>
      </c>
      <c r="M31" s="4" t="s">
        <v>20</v>
      </c>
      <c r="N31" s="4" t="s">
        <v>21</v>
      </c>
      <c r="V31" s="3">
        <v>47133</v>
      </c>
      <c r="X31" t="e">
        <f t="shared" si="2"/>
        <v>#NUM!</v>
      </c>
    </row>
    <row r="32" spans="5:24" hidden="1" x14ac:dyDescent="0.25">
      <c r="E32" s="3">
        <v>45309</v>
      </c>
      <c r="F32" s="4" t="s">
        <v>10</v>
      </c>
      <c r="G32" s="4" t="s">
        <v>16</v>
      </c>
      <c r="H32" s="4" t="s">
        <v>12</v>
      </c>
      <c r="I32" s="4">
        <v>6</v>
      </c>
      <c r="J32" s="4">
        <v>70446</v>
      </c>
      <c r="K32" s="4">
        <v>7.54</v>
      </c>
      <c r="L32" s="4">
        <v>17183.330000000002</v>
      </c>
      <c r="M32" s="4" t="s">
        <v>13</v>
      </c>
      <c r="N32" s="4" t="s">
        <v>14</v>
      </c>
      <c r="V32" s="3">
        <v>1</v>
      </c>
      <c r="X32" t="str">
        <f t="shared" si="2"/>
        <v>129 Years 0 Months 14 Days</v>
      </c>
    </row>
    <row r="33" spans="5:24" hidden="1" x14ac:dyDescent="0.25">
      <c r="E33" s="3">
        <v>45310</v>
      </c>
      <c r="F33" s="4" t="s">
        <v>24</v>
      </c>
      <c r="G33" s="4" t="s">
        <v>18</v>
      </c>
      <c r="H33" s="4" t="s">
        <v>12</v>
      </c>
      <c r="I33" s="4">
        <v>8</v>
      </c>
      <c r="J33" s="4">
        <v>89360</v>
      </c>
      <c r="K33" s="4">
        <v>7.55</v>
      </c>
      <c r="L33" s="4">
        <v>24570.81</v>
      </c>
      <c r="M33" s="4" t="s">
        <v>13</v>
      </c>
      <c r="N33" s="4" t="s">
        <v>14</v>
      </c>
      <c r="V33" s="3">
        <v>47133</v>
      </c>
      <c r="X33" t="e">
        <f>DATEDIF(V33,V34,"Y")&amp;" Years "&amp;DATEDIF(V33,V34,"YM")&amp;" Months "&amp;DATEDIF(V33,V34,"MD")&amp;" Days"</f>
        <v>#NUM!</v>
      </c>
    </row>
    <row r="34" spans="5:24" x14ac:dyDescent="0.25">
      <c r="E34" s="3">
        <v>45478</v>
      </c>
      <c r="F34" s="4" t="s">
        <v>22</v>
      </c>
      <c r="G34" s="4" t="s">
        <v>11</v>
      </c>
      <c r="H34" s="4" t="s">
        <v>25</v>
      </c>
      <c r="I34" s="4">
        <v>5</v>
      </c>
      <c r="J34" s="4">
        <v>84040</v>
      </c>
      <c r="K34" s="4">
        <v>5.43</v>
      </c>
      <c r="L34" s="4">
        <v>17103.29</v>
      </c>
      <c r="M34" s="4" t="s">
        <v>20</v>
      </c>
      <c r="N34" s="4" t="s">
        <v>21</v>
      </c>
      <c r="V34" s="3"/>
    </row>
    <row r="35" spans="5:24" hidden="1" x14ac:dyDescent="0.25">
      <c r="E35" s="3">
        <v>45312</v>
      </c>
      <c r="F35" s="4" t="s">
        <v>22</v>
      </c>
      <c r="G35" s="4" t="s">
        <v>18</v>
      </c>
      <c r="H35" s="4" t="s">
        <v>12</v>
      </c>
      <c r="I35" s="4">
        <v>7</v>
      </c>
      <c r="J35" s="4">
        <v>90755</v>
      </c>
      <c r="K35" s="4">
        <v>13.05</v>
      </c>
      <c r="L35" s="4">
        <v>26200.73</v>
      </c>
      <c r="M35" s="4" t="s">
        <v>13</v>
      </c>
      <c r="N35" s="4" t="s">
        <v>14</v>
      </c>
      <c r="V35" s="3"/>
    </row>
    <row r="36" spans="5:24" hidden="1" x14ac:dyDescent="0.25">
      <c r="E36" s="3">
        <v>45313</v>
      </c>
      <c r="F36" s="4" t="s">
        <v>15</v>
      </c>
      <c r="G36" s="4" t="s">
        <v>16</v>
      </c>
      <c r="H36" s="4" t="s">
        <v>12</v>
      </c>
      <c r="I36" s="4">
        <v>8</v>
      </c>
      <c r="J36" s="4">
        <v>85952</v>
      </c>
      <c r="K36" s="4">
        <v>14.01</v>
      </c>
      <c r="L36" s="4">
        <v>25908.99</v>
      </c>
      <c r="M36" s="4" t="s">
        <v>17</v>
      </c>
      <c r="N36" s="4" t="s">
        <v>14</v>
      </c>
      <c r="V36" s="3"/>
    </row>
    <row r="37" spans="5:24" x14ac:dyDescent="0.25">
      <c r="E37" s="3">
        <v>45337</v>
      </c>
      <c r="F37" s="4" t="s">
        <v>15</v>
      </c>
      <c r="G37" s="4" t="s">
        <v>18</v>
      </c>
      <c r="H37" s="4" t="s">
        <v>19</v>
      </c>
      <c r="I37" s="4">
        <v>5</v>
      </c>
      <c r="J37" s="4">
        <v>262895</v>
      </c>
      <c r="K37" s="4">
        <v>5.49</v>
      </c>
      <c r="L37" s="4">
        <v>54172.56</v>
      </c>
      <c r="M37" s="4" t="s">
        <v>13</v>
      </c>
      <c r="N37" s="4" t="s">
        <v>21</v>
      </c>
      <c r="V37" s="3"/>
    </row>
    <row r="38" spans="5:24" x14ac:dyDescent="0.25">
      <c r="E38" s="3">
        <v>45468</v>
      </c>
      <c r="F38" s="4" t="s">
        <v>10</v>
      </c>
      <c r="G38" s="4" t="s">
        <v>18</v>
      </c>
      <c r="H38" s="4" t="s">
        <v>25</v>
      </c>
      <c r="I38" s="4">
        <v>1</v>
      </c>
      <c r="J38" s="4">
        <v>13536</v>
      </c>
      <c r="K38" s="4">
        <v>5.52</v>
      </c>
      <c r="L38" s="4">
        <v>3417.91</v>
      </c>
      <c r="M38" s="4" t="s">
        <v>20</v>
      </c>
      <c r="N38" s="4" t="s">
        <v>21</v>
      </c>
      <c r="V38" s="3"/>
    </row>
    <row r="39" spans="5:24" hidden="1" x14ac:dyDescent="0.25">
      <c r="E39" s="3">
        <v>45316</v>
      </c>
      <c r="F39" s="4" t="s">
        <v>22</v>
      </c>
      <c r="G39" s="4" t="s">
        <v>11</v>
      </c>
      <c r="H39" s="4" t="s">
        <v>12</v>
      </c>
      <c r="I39" s="4">
        <v>2</v>
      </c>
      <c r="J39" s="4">
        <v>28796</v>
      </c>
      <c r="K39" s="4">
        <v>9.42</v>
      </c>
      <c r="L39" s="4">
        <v>6630.53</v>
      </c>
      <c r="M39" s="4" t="s">
        <v>17</v>
      </c>
      <c r="N39" s="4" t="s">
        <v>14</v>
      </c>
      <c r="V39" s="3"/>
    </row>
    <row r="40" spans="5:24" x14ac:dyDescent="0.25">
      <c r="E40" s="3">
        <v>45484</v>
      </c>
      <c r="F40" s="4" t="s">
        <v>10</v>
      </c>
      <c r="G40" s="4" t="s">
        <v>16</v>
      </c>
      <c r="H40" s="4" t="s">
        <v>12</v>
      </c>
      <c r="I40" s="4">
        <v>10</v>
      </c>
      <c r="J40" s="4">
        <v>127190</v>
      </c>
      <c r="K40" s="4">
        <v>5.61</v>
      </c>
      <c r="L40" s="4">
        <v>29048.31</v>
      </c>
      <c r="M40" s="4" t="s">
        <v>17</v>
      </c>
      <c r="N40" s="4" t="s">
        <v>21</v>
      </c>
    </row>
    <row r="41" spans="5:24" x14ac:dyDescent="0.25">
      <c r="E41" s="3">
        <v>45490</v>
      </c>
      <c r="F41" s="4" t="s">
        <v>15</v>
      </c>
      <c r="G41" s="4" t="s">
        <v>23</v>
      </c>
      <c r="H41" s="4" t="s">
        <v>19</v>
      </c>
      <c r="I41" s="4">
        <v>2</v>
      </c>
      <c r="J41" s="4">
        <v>104220</v>
      </c>
      <c r="K41" s="4">
        <v>5.73</v>
      </c>
      <c r="L41" s="4">
        <v>29625.89</v>
      </c>
      <c r="M41" s="4" t="s">
        <v>20</v>
      </c>
      <c r="N41" s="4" t="s">
        <v>21</v>
      </c>
    </row>
    <row r="42" spans="5:24" x14ac:dyDescent="0.25">
      <c r="E42" s="3">
        <v>45358</v>
      </c>
      <c r="F42" s="4" t="s">
        <v>22</v>
      </c>
      <c r="G42" s="4" t="s">
        <v>16</v>
      </c>
      <c r="H42" s="4" t="s">
        <v>12</v>
      </c>
      <c r="I42" s="4">
        <v>5</v>
      </c>
      <c r="J42" s="4">
        <v>70700</v>
      </c>
      <c r="K42" s="4">
        <v>5.9</v>
      </c>
      <c r="L42" s="4">
        <v>19003.78</v>
      </c>
      <c r="M42" s="4" t="s">
        <v>17</v>
      </c>
      <c r="N42" s="4" t="s">
        <v>21</v>
      </c>
    </row>
    <row r="43" spans="5:24" hidden="1" x14ac:dyDescent="0.25">
      <c r="E43" s="3">
        <v>45320</v>
      </c>
      <c r="F43" s="4" t="s">
        <v>15</v>
      </c>
      <c r="G43" s="4" t="s">
        <v>16</v>
      </c>
      <c r="H43" s="4" t="s">
        <v>25</v>
      </c>
      <c r="I43" s="4">
        <v>3</v>
      </c>
      <c r="J43" s="4">
        <v>49254</v>
      </c>
      <c r="K43" s="4">
        <v>9.24</v>
      </c>
      <c r="L43" s="4">
        <v>15277.8</v>
      </c>
      <c r="M43" s="4" t="s">
        <v>13</v>
      </c>
      <c r="N43" s="4" t="s">
        <v>14</v>
      </c>
    </row>
    <row r="44" spans="5:24" x14ac:dyDescent="0.25">
      <c r="E44" s="3">
        <v>45409</v>
      </c>
      <c r="F44" s="4" t="s">
        <v>10</v>
      </c>
      <c r="G44" s="4" t="s">
        <v>23</v>
      </c>
      <c r="H44" s="4" t="s">
        <v>25</v>
      </c>
      <c r="I44" s="4">
        <v>6</v>
      </c>
      <c r="J44" s="4">
        <v>82398</v>
      </c>
      <c r="K44" s="4">
        <v>5.97</v>
      </c>
      <c r="L44" s="4">
        <v>14605.16</v>
      </c>
      <c r="M44" s="4" t="s">
        <v>20</v>
      </c>
      <c r="N44" s="4" t="s">
        <v>21</v>
      </c>
    </row>
    <row r="45" spans="5:24" hidden="1" x14ac:dyDescent="0.25">
      <c r="E45" s="3">
        <v>45322</v>
      </c>
      <c r="F45" s="4" t="s">
        <v>22</v>
      </c>
      <c r="G45" s="4" t="s">
        <v>23</v>
      </c>
      <c r="H45" s="4" t="s">
        <v>19</v>
      </c>
      <c r="I45" s="4">
        <v>1</v>
      </c>
      <c r="J45" s="4">
        <v>48946</v>
      </c>
      <c r="K45" s="4">
        <v>13.45</v>
      </c>
      <c r="L45" s="4">
        <v>16582.64</v>
      </c>
      <c r="M45" s="4" t="s">
        <v>17</v>
      </c>
      <c r="N45" s="4" t="s">
        <v>14</v>
      </c>
    </row>
    <row r="46" spans="5:24" x14ac:dyDescent="0.25">
      <c r="E46" s="3">
        <v>45429</v>
      </c>
      <c r="F46" s="4" t="s">
        <v>22</v>
      </c>
      <c r="G46" s="4" t="s">
        <v>23</v>
      </c>
      <c r="H46" s="4" t="s">
        <v>12</v>
      </c>
      <c r="I46" s="4">
        <v>1</v>
      </c>
      <c r="J46" s="4">
        <v>14232</v>
      </c>
      <c r="K46" s="4">
        <v>5.99</v>
      </c>
      <c r="L46" s="4">
        <v>2503</v>
      </c>
      <c r="M46" s="4" t="s">
        <v>17</v>
      </c>
      <c r="N46" s="4" t="s">
        <v>21</v>
      </c>
    </row>
    <row r="47" spans="5:24" hidden="1" x14ac:dyDescent="0.25">
      <c r="E47" s="3">
        <v>45324</v>
      </c>
      <c r="F47" s="4" t="s">
        <v>15</v>
      </c>
      <c r="G47" s="4" t="s">
        <v>16</v>
      </c>
      <c r="H47" s="4" t="s">
        <v>12</v>
      </c>
      <c r="I47" s="4">
        <v>8</v>
      </c>
      <c r="J47" s="4">
        <v>116024</v>
      </c>
      <c r="K47" s="4">
        <v>8.85</v>
      </c>
      <c r="L47" s="4">
        <v>24984.23</v>
      </c>
      <c r="M47" s="4" t="s">
        <v>13</v>
      </c>
      <c r="N47" s="4" t="s">
        <v>14</v>
      </c>
    </row>
    <row r="48" spans="5:24" hidden="1" x14ac:dyDescent="0.25">
      <c r="E48" s="3">
        <v>45325</v>
      </c>
      <c r="F48" s="4" t="s">
        <v>15</v>
      </c>
      <c r="G48" s="4" t="s">
        <v>23</v>
      </c>
      <c r="H48" s="4" t="s">
        <v>12</v>
      </c>
      <c r="I48" s="4">
        <v>10</v>
      </c>
      <c r="J48" s="4">
        <v>134660</v>
      </c>
      <c r="K48" s="4">
        <v>9.83</v>
      </c>
      <c r="L48" s="4">
        <v>28810.14</v>
      </c>
      <c r="M48" s="4" t="s">
        <v>13</v>
      </c>
      <c r="N48" s="4" t="s">
        <v>14</v>
      </c>
    </row>
    <row r="49" spans="5:14" x14ac:dyDescent="0.25">
      <c r="E49" s="3">
        <v>45393</v>
      </c>
      <c r="F49" s="4" t="s">
        <v>24</v>
      </c>
      <c r="G49" s="4" t="s">
        <v>23</v>
      </c>
      <c r="H49" s="4" t="s">
        <v>25</v>
      </c>
      <c r="I49" s="4">
        <v>10</v>
      </c>
      <c r="J49" s="4">
        <v>178920</v>
      </c>
      <c r="K49" s="4">
        <v>6.08</v>
      </c>
      <c r="L49" s="4">
        <v>36078.11</v>
      </c>
      <c r="M49" s="4" t="s">
        <v>20</v>
      </c>
      <c r="N49" s="4" t="s">
        <v>21</v>
      </c>
    </row>
    <row r="50" spans="5:14" hidden="1" x14ac:dyDescent="0.25">
      <c r="E50" s="3">
        <v>45327</v>
      </c>
      <c r="F50" s="4" t="s">
        <v>22</v>
      </c>
      <c r="G50" s="4" t="s">
        <v>18</v>
      </c>
      <c r="H50" s="4" t="s">
        <v>12</v>
      </c>
      <c r="I50" s="4">
        <v>8</v>
      </c>
      <c r="J50" s="4">
        <v>87928</v>
      </c>
      <c r="K50" s="4">
        <v>10.72</v>
      </c>
      <c r="L50" s="4">
        <v>22145.03</v>
      </c>
      <c r="M50" s="4" t="s">
        <v>17</v>
      </c>
      <c r="N50" s="4" t="s">
        <v>14</v>
      </c>
    </row>
    <row r="51" spans="5:14" hidden="1" x14ac:dyDescent="0.25">
      <c r="E51" s="3">
        <v>45328</v>
      </c>
      <c r="F51" s="4" t="s">
        <v>15</v>
      </c>
      <c r="G51" s="4" t="s">
        <v>16</v>
      </c>
      <c r="H51" s="4" t="s">
        <v>19</v>
      </c>
      <c r="I51" s="4">
        <v>6</v>
      </c>
      <c r="J51" s="4">
        <v>272064</v>
      </c>
      <c r="K51" s="4">
        <v>10.75</v>
      </c>
      <c r="L51" s="4">
        <v>69492.47</v>
      </c>
      <c r="M51" s="4" t="s">
        <v>17</v>
      </c>
      <c r="N51" s="4" t="s">
        <v>14</v>
      </c>
    </row>
    <row r="52" spans="5:14" x14ac:dyDescent="0.25">
      <c r="E52" s="3">
        <v>45374</v>
      </c>
      <c r="F52" s="4" t="s">
        <v>15</v>
      </c>
      <c r="G52" s="4" t="s">
        <v>23</v>
      </c>
      <c r="H52" s="4" t="s">
        <v>19</v>
      </c>
      <c r="I52" s="4">
        <v>2</v>
      </c>
      <c r="J52" s="4">
        <v>109548</v>
      </c>
      <c r="K52" s="4">
        <v>6.15</v>
      </c>
      <c r="L52" s="4">
        <v>21313.32</v>
      </c>
      <c r="M52" s="4" t="s">
        <v>20</v>
      </c>
      <c r="N52" s="4" t="s">
        <v>21</v>
      </c>
    </row>
    <row r="53" spans="5:14" x14ac:dyDescent="0.25">
      <c r="E53" s="3">
        <v>45436</v>
      </c>
      <c r="F53" s="4" t="s">
        <v>15</v>
      </c>
      <c r="G53" s="4" t="s">
        <v>11</v>
      </c>
      <c r="H53" s="4" t="s">
        <v>12</v>
      </c>
      <c r="I53" s="4">
        <v>4</v>
      </c>
      <c r="J53" s="4">
        <v>50336</v>
      </c>
      <c r="K53" s="4">
        <v>6.22</v>
      </c>
      <c r="L53" s="4">
        <v>12574.44</v>
      </c>
      <c r="M53" s="4" t="s">
        <v>20</v>
      </c>
      <c r="N53" s="4" t="s">
        <v>21</v>
      </c>
    </row>
    <row r="54" spans="5:14" hidden="1" x14ac:dyDescent="0.25">
      <c r="E54" s="3">
        <v>45331</v>
      </c>
      <c r="F54" s="4" t="s">
        <v>15</v>
      </c>
      <c r="G54" s="4" t="s">
        <v>23</v>
      </c>
      <c r="H54" s="4" t="s">
        <v>12</v>
      </c>
      <c r="I54" s="4">
        <v>8</v>
      </c>
      <c r="J54" s="4">
        <v>94040</v>
      </c>
      <c r="K54" s="4">
        <v>14.78</v>
      </c>
      <c r="L54" s="4">
        <v>29683.27</v>
      </c>
      <c r="M54" s="4" t="s">
        <v>13</v>
      </c>
      <c r="N54" s="4" t="s">
        <v>14</v>
      </c>
    </row>
    <row r="55" spans="5:14" x14ac:dyDescent="0.25">
      <c r="E55" s="3">
        <v>45445</v>
      </c>
      <c r="F55" s="4" t="s">
        <v>10</v>
      </c>
      <c r="G55" s="4" t="s">
        <v>16</v>
      </c>
      <c r="H55" s="4" t="s">
        <v>19</v>
      </c>
      <c r="I55" s="4">
        <v>10</v>
      </c>
      <c r="J55" s="4">
        <v>499780</v>
      </c>
      <c r="K55" s="4">
        <v>6.26</v>
      </c>
      <c r="L55" s="4">
        <v>91130.39</v>
      </c>
      <c r="M55" s="4" t="s">
        <v>20</v>
      </c>
      <c r="N55" s="4" t="s">
        <v>21</v>
      </c>
    </row>
    <row r="56" spans="5:14" x14ac:dyDescent="0.25">
      <c r="E56" s="3">
        <v>45362</v>
      </c>
      <c r="F56" s="4" t="s">
        <v>24</v>
      </c>
      <c r="G56" s="4" t="s">
        <v>11</v>
      </c>
      <c r="H56" s="4" t="s">
        <v>19</v>
      </c>
      <c r="I56" s="4">
        <v>2</v>
      </c>
      <c r="J56" s="4">
        <v>94884</v>
      </c>
      <c r="K56" s="4">
        <v>6.32</v>
      </c>
      <c r="L56" s="4">
        <v>28138.23</v>
      </c>
      <c r="M56" s="4" t="s">
        <v>13</v>
      </c>
      <c r="N56" s="4" t="s">
        <v>21</v>
      </c>
    </row>
    <row r="57" spans="5:14" hidden="1" x14ac:dyDescent="0.25">
      <c r="E57" s="3">
        <v>45334</v>
      </c>
      <c r="F57" s="4" t="s">
        <v>24</v>
      </c>
      <c r="G57" s="4" t="s">
        <v>18</v>
      </c>
      <c r="H57" s="4" t="s">
        <v>25</v>
      </c>
      <c r="I57" s="4">
        <v>1</v>
      </c>
      <c r="J57" s="4">
        <v>17516</v>
      </c>
      <c r="K57" s="4">
        <v>10.66</v>
      </c>
      <c r="L57" s="4">
        <v>3741.61</v>
      </c>
      <c r="M57" s="4" t="s">
        <v>17</v>
      </c>
      <c r="N57" s="4" t="s">
        <v>14</v>
      </c>
    </row>
    <row r="58" spans="5:14" hidden="1" x14ac:dyDescent="0.25">
      <c r="E58" s="3">
        <v>45335</v>
      </c>
      <c r="F58" s="4" t="s">
        <v>10</v>
      </c>
      <c r="G58" s="4" t="s">
        <v>11</v>
      </c>
      <c r="H58" s="4" t="s">
        <v>25</v>
      </c>
      <c r="I58" s="4">
        <v>6</v>
      </c>
      <c r="J58" s="4">
        <v>77370</v>
      </c>
      <c r="K58" s="4">
        <v>11.86</v>
      </c>
      <c r="L58" s="4">
        <v>18847.439999999999</v>
      </c>
      <c r="M58" s="4" t="s">
        <v>20</v>
      </c>
      <c r="N58" s="4" t="s">
        <v>14</v>
      </c>
    </row>
    <row r="59" spans="5:14" hidden="1" x14ac:dyDescent="0.25">
      <c r="E59" s="3">
        <v>45336</v>
      </c>
      <c r="F59" s="4" t="s">
        <v>15</v>
      </c>
      <c r="G59" s="4" t="s">
        <v>16</v>
      </c>
      <c r="H59" s="4" t="s">
        <v>19</v>
      </c>
      <c r="I59" s="4">
        <v>9</v>
      </c>
      <c r="J59" s="4">
        <v>471150</v>
      </c>
      <c r="K59" s="4">
        <v>12.45</v>
      </c>
      <c r="L59" s="4">
        <v>101848.69</v>
      </c>
      <c r="M59" s="4" t="s">
        <v>13</v>
      </c>
      <c r="N59" s="4" t="s">
        <v>14</v>
      </c>
    </row>
    <row r="60" spans="5:14" x14ac:dyDescent="0.25">
      <c r="E60" s="3">
        <v>45453</v>
      </c>
      <c r="F60" s="4" t="s">
        <v>22</v>
      </c>
      <c r="G60" s="4" t="s">
        <v>18</v>
      </c>
      <c r="H60" s="4" t="s">
        <v>19</v>
      </c>
      <c r="I60" s="4">
        <v>4</v>
      </c>
      <c r="J60" s="4">
        <v>197336</v>
      </c>
      <c r="K60" s="4">
        <v>6.48</v>
      </c>
      <c r="L60" s="4">
        <v>37522.699999999997</v>
      </c>
      <c r="M60" s="4" t="s">
        <v>17</v>
      </c>
      <c r="N60" s="4" t="s">
        <v>21</v>
      </c>
    </row>
    <row r="61" spans="5:14" hidden="1" x14ac:dyDescent="0.25">
      <c r="E61" s="3">
        <v>45338</v>
      </c>
      <c r="F61" s="4" t="s">
        <v>15</v>
      </c>
      <c r="G61" s="4" t="s">
        <v>11</v>
      </c>
      <c r="H61" s="4" t="s">
        <v>25</v>
      </c>
      <c r="I61" s="4">
        <v>9</v>
      </c>
      <c r="J61" s="4">
        <v>115218</v>
      </c>
      <c r="K61" s="4">
        <v>11.06</v>
      </c>
      <c r="L61" s="4">
        <v>32960.36</v>
      </c>
      <c r="M61" s="4" t="s">
        <v>17</v>
      </c>
      <c r="N61" s="4" t="s">
        <v>14</v>
      </c>
    </row>
    <row r="62" spans="5:14" x14ac:dyDescent="0.25">
      <c r="E62" s="3">
        <v>45315</v>
      </c>
      <c r="F62" s="4" t="s">
        <v>10</v>
      </c>
      <c r="G62" s="4" t="s">
        <v>18</v>
      </c>
      <c r="H62" s="4" t="s">
        <v>25</v>
      </c>
      <c r="I62" s="4">
        <v>10</v>
      </c>
      <c r="J62" s="4">
        <v>158340</v>
      </c>
      <c r="K62" s="4">
        <v>6.58</v>
      </c>
      <c r="L62" s="4">
        <v>37929.65</v>
      </c>
      <c r="M62" s="4" t="s">
        <v>20</v>
      </c>
      <c r="N62" s="4" t="s">
        <v>21</v>
      </c>
    </row>
    <row r="63" spans="5:14" hidden="1" x14ac:dyDescent="0.25">
      <c r="E63" s="3">
        <v>45340</v>
      </c>
      <c r="F63" s="4" t="s">
        <v>24</v>
      </c>
      <c r="G63" s="4" t="s">
        <v>18</v>
      </c>
      <c r="H63" s="4" t="s">
        <v>25</v>
      </c>
      <c r="I63" s="4">
        <v>4</v>
      </c>
      <c r="J63" s="4">
        <v>61140</v>
      </c>
      <c r="K63" s="4">
        <v>14.04</v>
      </c>
      <c r="L63" s="4">
        <v>20046.68</v>
      </c>
      <c r="M63" s="4" t="s">
        <v>17</v>
      </c>
      <c r="N63" s="4" t="s">
        <v>14</v>
      </c>
    </row>
    <row r="64" spans="5:14" hidden="1" x14ac:dyDescent="0.25">
      <c r="E64" s="3">
        <v>45341</v>
      </c>
      <c r="F64" s="4" t="s">
        <v>10</v>
      </c>
      <c r="G64" s="4" t="s">
        <v>16</v>
      </c>
      <c r="H64" s="4" t="s">
        <v>25</v>
      </c>
      <c r="I64" s="4">
        <v>1</v>
      </c>
      <c r="J64" s="4">
        <v>15198</v>
      </c>
      <c r="K64" s="4">
        <v>7.86</v>
      </c>
      <c r="L64" s="4">
        <v>3316.19</v>
      </c>
      <c r="M64" s="4" t="s">
        <v>13</v>
      </c>
      <c r="N64" s="4" t="s">
        <v>14</v>
      </c>
    </row>
    <row r="65" spans="5:14" hidden="1" x14ac:dyDescent="0.25">
      <c r="E65" s="3">
        <v>45342</v>
      </c>
      <c r="F65" s="4" t="s">
        <v>22</v>
      </c>
      <c r="G65" s="4" t="s">
        <v>18</v>
      </c>
      <c r="H65" s="4" t="s">
        <v>25</v>
      </c>
      <c r="I65" s="4">
        <v>7</v>
      </c>
      <c r="J65" s="4">
        <v>123942</v>
      </c>
      <c r="K65" s="4">
        <v>12.99</v>
      </c>
      <c r="L65" s="4">
        <v>39431.74</v>
      </c>
      <c r="M65" s="4" t="s">
        <v>20</v>
      </c>
      <c r="N65" s="4" t="s">
        <v>14</v>
      </c>
    </row>
    <row r="66" spans="5:14" hidden="1" x14ac:dyDescent="0.25">
      <c r="E66" s="3">
        <v>45343</v>
      </c>
      <c r="F66" s="4" t="s">
        <v>24</v>
      </c>
      <c r="G66" s="4" t="s">
        <v>16</v>
      </c>
      <c r="H66" s="4" t="s">
        <v>19</v>
      </c>
      <c r="I66" s="4">
        <v>5</v>
      </c>
      <c r="J66" s="4">
        <v>242830</v>
      </c>
      <c r="K66" s="4">
        <v>11.07</v>
      </c>
      <c r="L66" s="4">
        <v>77364.23</v>
      </c>
      <c r="M66" s="4" t="s">
        <v>17</v>
      </c>
      <c r="N66" s="4" t="s">
        <v>14</v>
      </c>
    </row>
    <row r="67" spans="5:14" x14ac:dyDescent="0.25">
      <c r="E67" s="3">
        <v>45460</v>
      </c>
      <c r="F67" s="4" t="s">
        <v>22</v>
      </c>
      <c r="G67" s="4" t="s">
        <v>23</v>
      </c>
      <c r="H67" s="4" t="s">
        <v>19</v>
      </c>
      <c r="I67" s="4">
        <v>2</v>
      </c>
      <c r="J67" s="4">
        <v>97500</v>
      </c>
      <c r="K67" s="4">
        <v>6.74</v>
      </c>
      <c r="L67" s="4">
        <v>20642.71</v>
      </c>
      <c r="M67" s="4" t="s">
        <v>20</v>
      </c>
      <c r="N67" s="4" t="s">
        <v>21</v>
      </c>
    </row>
    <row r="68" spans="5:14" x14ac:dyDescent="0.25">
      <c r="E68" s="3">
        <v>45361</v>
      </c>
      <c r="F68" s="4" t="s">
        <v>22</v>
      </c>
      <c r="G68" s="4" t="s">
        <v>16</v>
      </c>
      <c r="H68" s="4" t="s">
        <v>12</v>
      </c>
      <c r="I68" s="4">
        <v>8</v>
      </c>
      <c r="J68" s="4">
        <v>116152</v>
      </c>
      <c r="K68" s="4">
        <v>6.76</v>
      </c>
      <c r="L68" s="4">
        <v>29403.1</v>
      </c>
      <c r="M68" s="4" t="s">
        <v>17</v>
      </c>
      <c r="N68" s="4" t="s">
        <v>21</v>
      </c>
    </row>
    <row r="69" spans="5:14" x14ac:dyDescent="0.25">
      <c r="E69" s="3">
        <v>45323</v>
      </c>
      <c r="F69" s="4" t="s">
        <v>10</v>
      </c>
      <c r="G69" s="4" t="s">
        <v>11</v>
      </c>
      <c r="H69" s="4" t="s">
        <v>12</v>
      </c>
      <c r="I69" s="4">
        <v>8</v>
      </c>
      <c r="J69" s="4">
        <v>84528</v>
      </c>
      <c r="K69" s="4">
        <v>6.99</v>
      </c>
      <c r="L69" s="4">
        <v>24426.01</v>
      </c>
      <c r="M69" s="4" t="s">
        <v>17</v>
      </c>
      <c r="N69" s="4" t="s">
        <v>21</v>
      </c>
    </row>
    <row r="70" spans="5:14" x14ac:dyDescent="0.25">
      <c r="E70" s="3">
        <v>45326</v>
      </c>
      <c r="F70" s="4" t="s">
        <v>15</v>
      </c>
      <c r="G70" s="4" t="s">
        <v>16</v>
      </c>
      <c r="H70" s="4" t="s">
        <v>12</v>
      </c>
      <c r="I70" s="4">
        <v>5</v>
      </c>
      <c r="J70" s="4">
        <v>66340</v>
      </c>
      <c r="K70" s="4">
        <v>7.37</v>
      </c>
      <c r="L70" s="4">
        <v>15124.67</v>
      </c>
      <c r="M70" s="4" t="s">
        <v>13</v>
      </c>
      <c r="N70" s="4" t="s">
        <v>21</v>
      </c>
    </row>
    <row r="71" spans="5:14" x14ac:dyDescent="0.25">
      <c r="E71" s="3">
        <v>45321</v>
      </c>
      <c r="F71" s="4" t="s">
        <v>10</v>
      </c>
      <c r="G71" s="4" t="s">
        <v>23</v>
      </c>
      <c r="H71" s="4" t="s">
        <v>25</v>
      </c>
      <c r="I71" s="4">
        <v>1</v>
      </c>
      <c r="J71" s="4">
        <v>12916</v>
      </c>
      <c r="K71" s="4">
        <v>7.5</v>
      </c>
      <c r="L71" s="4">
        <v>2465.02</v>
      </c>
      <c r="M71" s="4" t="s">
        <v>20</v>
      </c>
      <c r="N71" s="4" t="s">
        <v>21</v>
      </c>
    </row>
    <row r="72" spans="5:14" hidden="1" x14ac:dyDescent="0.25">
      <c r="E72" s="3">
        <v>45349</v>
      </c>
      <c r="F72" s="4" t="s">
        <v>22</v>
      </c>
      <c r="G72" s="4" t="s">
        <v>23</v>
      </c>
      <c r="H72" s="4" t="s">
        <v>19</v>
      </c>
      <c r="I72" s="4">
        <v>6</v>
      </c>
      <c r="J72" s="4">
        <v>293460</v>
      </c>
      <c r="K72" s="4">
        <v>11.59</v>
      </c>
      <c r="L72" s="4">
        <v>65987.61</v>
      </c>
      <c r="M72" s="4" t="s">
        <v>17</v>
      </c>
      <c r="N72" s="4" t="s">
        <v>14</v>
      </c>
    </row>
    <row r="73" spans="5:14" hidden="1" x14ac:dyDescent="0.25">
      <c r="E73" s="3">
        <v>45350</v>
      </c>
      <c r="F73" s="4" t="s">
        <v>22</v>
      </c>
      <c r="G73" s="4" t="s">
        <v>18</v>
      </c>
      <c r="H73" s="4" t="s">
        <v>19</v>
      </c>
      <c r="I73" s="4">
        <v>5</v>
      </c>
      <c r="J73" s="4">
        <v>262455</v>
      </c>
      <c r="K73" s="4">
        <v>13.38</v>
      </c>
      <c r="L73" s="4">
        <v>58726.239999999998</v>
      </c>
      <c r="M73" s="4" t="s">
        <v>13</v>
      </c>
      <c r="N73" s="4" t="s">
        <v>14</v>
      </c>
    </row>
    <row r="74" spans="5:14" x14ac:dyDescent="0.25">
      <c r="E74" s="3">
        <v>45459</v>
      </c>
      <c r="F74" s="4" t="s">
        <v>24</v>
      </c>
      <c r="G74" s="4" t="s">
        <v>11</v>
      </c>
      <c r="H74" s="4" t="s">
        <v>12</v>
      </c>
      <c r="I74" s="4">
        <v>1</v>
      </c>
      <c r="J74" s="4">
        <v>13539</v>
      </c>
      <c r="K74" s="4">
        <v>7.51</v>
      </c>
      <c r="L74" s="4">
        <v>3086.64</v>
      </c>
      <c r="M74" s="4" t="s">
        <v>20</v>
      </c>
      <c r="N74" s="4" t="s">
        <v>21</v>
      </c>
    </row>
    <row r="75" spans="5:14" x14ac:dyDescent="0.25">
      <c r="E75" s="3">
        <v>45333</v>
      </c>
      <c r="F75" s="4" t="s">
        <v>15</v>
      </c>
      <c r="G75" s="4" t="s">
        <v>11</v>
      </c>
      <c r="H75" s="4" t="s">
        <v>19</v>
      </c>
      <c r="I75" s="4">
        <v>7</v>
      </c>
      <c r="J75" s="4">
        <v>355628</v>
      </c>
      <c r="K75" s="4">
        <v>7.74</v>
      </c>
      <c r="L75" s="4">
        <v>72640.429999999993</v>
      </c>
      <c r="M75" s="4" t="s">
        <v>17</v>
      </c>
      <c r="N75" s="4" t="s">
        <v>21</v>
      </c>
    </row>
    <row r="76" spans="5:14" hidden="1" x14ac:dyDescent="0.25">
      <c r="E76" s="3">
        <v>45353</v>
      </c>
      <c r="F76" s="4" t="s">
        <v>22</v>
      </c>
      <c r="G76" s="4" t="s">
        <v>16</v>
      </c>
      <c r="H76" s="4" t="s">
        <v>25</v>
      </c>
      <c r="I76" s="4">
        <v>2</v>
      </c>
      <c r="J76" s="4">
        <v>28002</v>
      </c>
      <c r="K76" s="4">
        <v>11.46</v>
      </c>
      <c r="L76" s="4">
        <v>7017.92</v>
      </c>
      <c r="M76" s="4" t="s">
        <v>17</v>
      </c>
      <c r="N76" s="4" t="s">
        <v>14</v>
      </c>
    </row>
    <row r="77" spans="5:14" x14ac:dyDescent="0.25">
      <c r="E77" s="3">
        <v>45295</v>
      </c>
      <c r="F77" s="4" t="s">
        <v>15</v>
      </c>
      <c r="G77" s="4" t="s">
        <v>16</v>
      </c>
      <c r="H77" s="4" t="s">
        <v>12</v>
      </c>
      <c r="I77" s="4">
        <v>10</v>
      </c>
      <c r="J77" s="4">
        <v>102170</v>
      </c>
      <c r="K77" s="4">
        <v>7.93</v>
      </c>
      <c r="L77" s="4">
        <v>22689.4</v>
      </c>
      <c r="M77" s="4" t="s">
        <v>17</v>
      </c>
      <c r="N77" s="4" t="s">
        <v>21</v>
      </c>
    </row>
    <row r="78" spans="5:14" x14ac:dyDescent="0.25">
      <c r="E78" s="3">
        <v>45330</v>
      </c>
      <c r="F78" s="4" t="s">
        <v>15</v>
      </c>
      <c r="G78" s="4" t="s">
        <v>11</v>
      </c>
      <c r="H78" s="4" t="s">
        <v>19</v>
      </c>
      <c r="I78" s="4">
        <v>6</v>
      </c>
      <c r="J78" s="4">
        <v>276960</v>
      </c>
      <c r="K78" s="4">
        <v>7.95</v>
      </c>
      <c r="L78" s="4">
        <v>81084.37</v>
      </c>
      <c r="M78" s="4" t="s">
        <v>20</v>
      </c>
      <c r="N78" s="4" t="s">
        <v>21</v>
      </c>
    </row>
    <row r="79" spans="5:14" hidden="1" x14ac:dyDescent="0.25">
      <c r="E79" s="3">
        <v>45356</v>
      </c>
      <c r="F79" s="4" t="s">
        <v>10</v>
      </c>
      <c r="G79" s="4" t="s">
        <v>16</v>
      </c>
      <c r="H79" s="4" t="s">
        <v>25</v>
      </c>
      <c r="I79" s="4">
        <v>2</v>
      </c>
      <c r="J79" s="4">
        <v>25752</v>
      </c>
      <c r="K79" s="4">
        <v>10.8</v>
      </c>
      <c r="L79" s="4">
        <v>5664.95</v>
      </c>
      <c r="M79" s="4" t="s">
        <v>17</v>
      </c>
      <c r="N79" s="4" t="s">
        <v>14</v>
      </c>
    </row>
    <row r="80" spans="5:14" x14ac:dyDescent="0.25">
      <c r="E80" s="3">
        <v>45359</v>
      </c>
      <c r="F80" s="4" t="s">
        <v>24</v>
      </c>
      <c r="G80" s="4" t="s">
        <v>23</v>
      </c>
      <c r="H80" s="4" t="s">
        <v>19</v>
      </c>
      <c r="I80" s="4">
        <v>2</v>
      </c>
      <c r="J80" s="4">
        <v>103878</v>
      </c>
      <c r="K80" s="4">
        <v>7.95</v>
      </c>
      <c r="L80" s="4">
        <v>22085.43</v>
      </c>
      <c r="M80" s="4" t="s">
        <v>17</v>
      </c>
      <c r="N80" s="4" t="s">
        <v>21</v>
      </c>
    </row>
    <row r="81" spans="5:14" x14ac:dyDescent="0.25">
      <c r="E81" s="3">
        <v>45403</v>
      </c>
      <c r="F81" s="4" t="s">
        <v>24</v>
      </c>
      <c r="G81" s="4" t="s">
        <v>18</v>
      </c>
      <c r="H81" s="4" t="s">
        <v>12</v>
      </c>
      <c r="I81" s="4">
        <v>9</v>
      </c>
      <c r="J81" s="4">
        <v>134469</v>
      </c>
      <c r="K81" s="4">
        <v>8.02</v>
      </c>
      <c r="L81" s="4">
        <v>41564.07</v>
      </c>
      <c r="M81" s="4" t="s">
        <v>17</v>
      </c>
      <c r="N81" s="4" t="s">
        <v>21</v>
      </c>
    </row>
    <row r="82" spans="5:14" x14ac:dyDescent="0.25">
      <c r="E82" s="3">
        <v>45407</v>
      </c>
      <c r="F82" s="4" t="s">
        <v>10</v>
      </c>
      <c r="G82" s="4" t="s">
        <v>18</v>
      </c>
      <c r="H82" s="4" t="s">
        <v>12</v>
      </c>
      <c r="I82" s="4">
        <v>10</v>
      </c>
      <c r="J82" s="4">
        <v>102220</v>
      </c>
      <c r="K82" s="4">
        <v>8.0399999999999991</v>
      </c>
      <c r="L82" s="4">
        <v>21800.13</v>
      </c>
      <c r="M82" s="4" t="s">
        <v>20</v>
      </c>
      <c r="N82" s="4" t="s">
        <v>21</v>
      </c>
    </row>
    <row r="83" spans="5:14" x14ac:dyDescent="0.25">
      <c r="E83" s="3">
        <v>45354</v>
      </c>
      <c r="F83" s="4" t="s">
        <v>22</v>
      </c>
      <c r="G83" s="4" t="s">
        <v>23</v>
      </c>
      <c r="H83" s="4" t="s">
        <v>19</v>
      </c>
      <c r="I83" s="4">
        <v>8</v>
      </c>
      <c r="J83" s="4">
        <v>431200</v>
      </c>
      <c r="K83" s="4">
        <v>8.09</v>
      </c>
      <c r="L83" s="4">
        <v>132400.16</v>
      </c>
      <c r="M83" s="4" t="s">
        <v>17</v>
      </c>
      <c r="N83" s="4" t="s">
        <v>21</v>
      </c>
    </row>
    <row r="84" spans="5:14" x14ac:dyDescent="0.25">
      <c r="E84" s="3">
        <v>45466</v>
      </c>
      <c r="F84" s="4" t="s">
        <v>24</v>
      </c>
      <c r="G84" s="4" t="s">
        <v>11</v>
      </c>
      <c r="H84" s="4" t="s">
        <v>25</v>
      </c>
      <c r="I84" s="4">
        <v>2</v>
      </c>
      <c r="J84" s="4">
        <v>29152</v>
      </c>
      <c r="K84" s="4">
        <v>8.24</v>
      </c>
      <c r="L84" s="4">
        <v>7314.7</v>
      </c>
      <c r="M84" s="4" t="s">
        <v>20</v>
      </c>
      <c r="N84" s="4" t="s">
        <v>21</v>
      </c>
    </row>
    <row r="85" spans="5:14" x14ac:dyDescent="0.25">
      <c r="E85" s="3">
        <v>45373</v>
      </c>
      <c r="F85" s="4" t="s">
        <v>24</v>
      </c>
      <c r="G85" s="4" t="s">
        <v>23</v>
      </c>
      <c r="H85" s="4" t="s">
        <v>19</v>
      </c>
      <c r="I85" s="4">
        <v>2</v>
      </c>
      <c r="J85" s="4">
        <v>98558</v>
      </c>
      <c r="K85" s="4">
        <v>8.39</v>
      </c>
      <c r="L85" s="4">
        <v>25827.24</v>
      </c>
      <c r="M85" s="4" t="s">
        <v>20</v>
      </c>
      <c r="N85" s="4" t="s">
        <v>21</v>
      </c>
    </row>
    <row r="86" spans="5:14" hidden="1" x14ac:dyDescent="0.25">
      <c r="E86" s="3">
        <v>45363</v>
      </c>
      <c r="F86" s="4" t="s">
        <v>10</v>
      </c>
      <c r="G86" s="4" t="s">
        <v>23</v>
      </c>
      <c r="H86" s="4" t="s">
        <v>12</v>
      </c>
      <c r="I86" s="4">
        <v>9</v>
      </c>
      <c r="J86" s="4">
        <v>100917</v>
      </c>
      <c r="K86" s="4">
        <v>10.39</v>
      </c>
      <c r="L86" s="4">
        <v>21297.35</v>
      </c>
      <c r="M86" s="4" t="s">
        <v>20</v>
      </c>
      <c r="N86" s="4" t="s">
        <v>14</v>
      </c>
    </row>
    <row r="87" spans="5:14" x14ac:dyDescent="0.25">
      <c r="E87" s="3">
        <v>45317</v>
      </c>
      <c r="F87" s="4" t="s">
        <v>22</v>
      </c>
      <c r="G87" s="4" t="s">
        <v>23</v>
      </c>
      <c r="H87" s="4" t="s">
        <v>19</v>
      </c>
      <c r="I87" s="4">
        <v>5</v>
      </c>
      <c r="J87" s="4">
        <v>260615</v>
      </c>
      <c r="K87" s="4">
        <v>8.4600000000000009</v>
      </c>
      <c r="L87" s="4">
        <v>68286.27</v>
      </c>
      <c r="M87" s="4" t="s">
        <v>17</v>
      </c>
      <c r="N87" s="4" t="s">
        <v>21</v>
      </c>
    </row>
    <row r="88" spans="5:14" x14ac:dyDescent="0.25">
      <c r="E88" s="3">
        <v>45344</v>
      </c>
      <c r="F88" s="4" t="s">
        <v>10</v>
      </c>
      <c r="G88" s="4" t="s">
        <v>11</v>
      </c>
      <c r="H88" s="4" t="s">
        <v>12</v>
      </c>
      <c r="I88" s="4">
        <v>6</v>
      </c>
      <c r="J88" s="4">
        <v>62808</v>
      </c>
      <c r="K88" s="4">
        <v>8.52</v>
      </c>
      <c r="L88" s="4">
        <v>12431.34</v>
      </c>
      <c r="M88" s="4" t="s">
        <v>17</v>
      </c>
      <c r="N88" s="4" t="s">
        <v>21</v>
      </c>
    </row>
    <row r="89" spans="5:14" x14ac:dyDescent="0.25">
      <c r="E89" s="3">
        <v>45383</v>
      </c>
      <c r="F89" s="4" t="s">
        <v>22</v>
      </c>
      <c r="G89" s="4" t="s">
        <v>23</v>
      </c>
      <c r="H89" s="4" t="s">
        <v>19</v>
      </c>
      <c r="I89" s="4">
        <v>7</v>
      </c>
      <c r="J89" s="4">
        <v>381514</v>
      </c>
      <c r="K89" s="4">
        <v>8.66</v>
      </c>
      <c r="L89" s="4">
        <v>85550.19</v>
      </c>
      <c r="M89" s="4" t="s">
        <v>13</v>
      </c>
      <c r="N89" s="4" t="s">
        <v>21</v>
      </c>
    </row>
    <row r="90" spans="5:14" x14ac:dyDescent="0.25">
      <c r="E90" s="3">
        <v>45425</v>
      </c>
      <c r="F90" s="4" t="s">
        <v>22</v>
      </c>
      <c r="G90" s="4" t="s">
        <v>16</v>
      </c>
      <c r="H90" s="4" t="s">
        <v>19</v>
      </c>
      <c r="I90" s="4">
        <v>5</v>
      </c>
      <c r="J90" s="4">
        <v>261925</v>
      </c>
      <c r="K90" s="4">
        <v>8.7100000000000009</v>
      </c>
      <c r="L90" s="4">
        <v>60411.01</v>
      </c>
      <c r="M90" s="4" t="s">
        <v>17</v>
      </c>
      <c r="N90" s="4" t="s">
        <v>21</v>
      </c>
    </row>
    <row r="91" spans="5:14" hidden="1" x14ac:dyDescent="0.25">
      <c r="E91" s="3">
        <v>45368</v>
      </c>
      <c r="F91" s="4" t="s">
        <v>22</v>
      </c>
      <c r="G91" s="4" t="s">
        <v>18</v>
      </c>
      <c r="H91" s="4" t="s">
        <v>12</v>
      </c>
      <c r="I91" s="4">
        <v>4</v>
      </c>
      <c r="J91" s="4">
        <v>48740</v>
      </c>
      <c r="K91" s="4">
        <v>7.57</v>
      </c>
      <c r="L91" s="4">
        <v>14744.94</v>
      </c>
      <c r="M91" s="4" t="s">
        <v>13</v>
      </c>
      <c r="N91" s="4" t="s">
        <v>14</v>
      </c>
    </row>
    <row r="92" spans="5:14" x14ac:dyDescent="0.25">
      <c r="E92" s="3">
        <v>45296</v>
      </c>
      <c r="F92" s="4" t="s">
        <v>15</v>
      </c>
      <c r="G92" s="4" t="s">
        <v>18</v>
      </c>
      <c r="H92" s="4" t="s">
        <v>19</v>
      </c>
      <c r="I92" s="4">
        <v>8</v>
      </c>
      <c r="J92" s="4">
        <v>437232</v>
      </c>
      <c r="K92" s="4">
        <v>8.75</v>
      </c>
      <c r="L92" s="4">
        <v>105178.56</v>
      </c>
      <c r="M92" s="4" t="s">
        <v>17</v>
      </c>
      <c r="N92" s="4" t="s">
        <v>21</v>
      </c>
    </row>
    <row r="93" spans="5:14" hidden="1" x14ac:dyDescent="0.25">
      <c r="E93" s="3">
        <v>45370</v>
      </c>
      <c r="F93" s="4" t="s">
        <v>15</v>
      </c>
      <c r="G93" s="4" t="s">
        <v>16</v>
      </c>
      <c r="H93" s="4" t="s">
        <v>25</v>
      </c>
      <c r="I93" s="4">
        <v>6</v>
      </c>
      <c r="J93" s="4">
        <v>87000</v>
      </c>
      <c r="K93" s="4">
        <v>9.82</v>
      </c>
      <c r="L93" s="4">
        <v>25624.73</v>
      </c>
      <c r="M93" s="4" t="s">
        <v>20</v>
      </c>
      <c r="N93" s="4" t="s">
        <v>14</v>
      </c>
    </row>
    <row r="94" spans="5:14" x14ac:dyDescent="0.25">
      <c r="E94" s="3">
        <v>45434</v>
      </c>
      <c r="F94" s="4" t="s">
        <v>24</v>
      </c>
      <c r="G94" s="4" t="s">
        <v>23</v>
      </c>
      <c r="H94" s="4" t="s">
        <v>25</v>
      </c>
      <c r="I94" s="4">
        <v>9</v>
      </c>
      <c r="J94" s="4">
        <v>132381</v>
      </c>
      <c r="K94" s="4">
        <v>8.98</v>
      </c>
      <c r="L94" s="4">
        <v>36404.69</v>
      </c>
      <c r="M94" s="4" t="s">
        <v>17</v>
      </c>
      <c r="N94" s="4" t="s">
        <v>21</v>
      </c>
    </row>
    <row r="95" spans="5:14" hidden="1" x14ac:dyDescent="0.25">
      <c r="E95" s="3">
        <v>45372</v>
      </c>
      <c r="F95" s="4" t="s">
        <v>22</v>
      </c>
      <c r="G95" s="4" t="s">
        <v>23</v>
      </c>
      <c r="H95" s="4" t="s">
        <v>19</v>
      </c>
      <c r="I95" s="4">
        <v>5</v>
      </c>
      <c r="J95" s="4">
        <v>253765</v>
      </c>
      <c r="K95" s="4">
        <v>12.47</v>
      </c>
      <c r="L95" s="4">
        <v>75807.67</v>
      </c>
      <c r="M95" s="4" t="s">
        <v>20</v>
      </c>
      <c r="N95" s="4" t="s">
        <v>14</v>
      </c>
    </row>
    <row r="96" spans="5:14" x14ac:dyDescent="0.25">
      <c r="E96" s="3">
        <v>45486</v>
      </c>
      <c r="F96" s="4" t="s">
        <v>10</v>
      </c>
      <c r="G96" s="4" t="s">
        <v>16</v>
      </c>
      <c r="H96" s="4" t="s">
        <v>25</v>
      </c>
      <c r="I96" s="4">
        <v>3</v>
      </c>
      <c r="J96" s="4">
        <v>37836</v>
      </c>
      <c r="K96" s="4">
        <v>9.02</v>
      </c>
      <c r="L96" s="4">
        <v>8651.6299999999992</v>
      </c>
      <c r="M96" s="4" t="s">
        <v>17</v>
      </c>
      <c r="N96" s="4" t="s">
        <v>21</v>
      </c>
    </row>
    <row r="97" spans="5:14" x14ac:dyDescent="0.25">
      <c r="E97" s="3">
        <v>45404</v>
      </c>
      <c r="F97" s="4" t="s">
        <v>15</v>
      </c>
      <c r="G97" s="4" t="s">
        <v>18</v>
      </c>
      <c r="H97" s="4" t="s">
        <v>19</v>
      </c>
      <c r="I97" s="4">
        <v>5</v>
      </c>
      <c r="J97" s="4">
        <v>260700</v>
      </c>
      <c r="K97" s="4">
        <v>9.08</v>
      </c>
      <c r="L97" s="4">
        <v>56375.78</v>
      </c>
      <c r="M97" s="4" t="s">
        <v>13</v>
      </c>
      <c r="N97" s="4" t="s">
        <v>21</v>
      </c>
    </row>
    <row r="98" spans="5:14" hidden="1" x14ac:dyDescent="0.25">
      <c r="E98" s="3">
        <v>45375</v>
      </c>
      <c r="F98" s="4" t="s">
        <v>24</v>
      </c>
      <c r="G98" s="4" t="s">
        <v>23</v>
      </c>
      <c r="H98" s="4" t="s">
        <v>12</v>
      </c>
      <c r="I98" s="4">
        <v>6</v>
      </c>
      <c r="J98" s="4">
        <v>81444</v>
      </c>
      <c r="K98" s="4">
        <v>14.63</v>
      </c>
      <c r="L98" s="4">
        <v>21194.83</v>
      </c>
      <c r="M98" s="4" t="s">
        <v>13</v>
      </c>
      <c r="N98" s="4" t="s">
        <v>14</v>
      </c>
    </row>
    <row r="99" spans="5:14" hidden="1" x14ac:dyDescent="0.25">
      <c r="E99" s="3">
        <v>45376</v>
      </c>
      <c r="F99" s="4" t="s">
        <v>10</v>
      </c>
      <c r="G99" s="4" t="s">
        <v>18</v>
      </c>
      <c r="H99" s="4" t="s">
        <v>12</v>
      </c>
      <c r="I99" s="4">
        <v>4</v>
      </c>
      <c r="J99" s="4">
        <v>48344</v>
      </c>
      <c r="K99" s="4">
        <v>6.41</v>
      </c>
      <c r="L99" s="4">
        <v>10557.03</v>
      </c>
      <c r="M99" s="4" t="s">
        <v>20</v>
      </c>
      <c r="N99" s="4" t="s">
        <v>14</v>
      </c>
    </row>
    <row r="100" spans="5:14" x14ac:dyDescent="0.25">
      <c r="E100" s="3">
        <v>45422</v>
      </c>
      <c r="F100" s="4" t="s">
        <v>22</v>
      </c>
      <c r="G100" s="4" t="s">
        <v>18</v>
      </c>
      <c r="H100" s="4" t="s">
        <v>12</v>
      </c>
      <c r="I100" s="4">
        <v>3</v>
      </c>
      <c r="J100" s="4">
        <v>40701</v>
      </c>
      <c r="K100" s="4">
        <v>9.08</v>
      </c>
      <c r="L100" s="4">
        <v>12831.57</v>
      </c>
      <c r="M100" s="4" t="s">
        <v>13</v>
      </c>
      <c r="N100" s="4" t="s">
        <v>21</v>
      </c>
    </row>
    <row r="101" spans="5:14" x14ac:dyDescent="0.25">
      <c r="E101" s="3">
        <v>45416</v>
      </c>
      <c r="F101" s="4" t="s">
        <v>15</v>
      </c>
      <c r="G101" s="4" t="s">
        <v>11</v>
      </c>
      <c r="H101" s="4" t="s">
        <v>19</v>
      </c>
      <c r="I101" s="4">
        <v>5</v>
      </c>
      <c r="J101" s="4">
        <v>233855</v>
      </c>
      <c r="K101" s="4">
        <v>9.19</v>
      </c>
      <c r="L101" s="4">
        <v>47122.68</v>
      </c>
      <c r="M101" s="4" t="s">
        <v>13</v>
      </c>
      <c r="N101" s="4" t="s">
        <v>21</v>
      </c>
    </row>
    <row r="102" spans="5:14" x14ac:dyDescent="0.25">
      <c r="E102" s="3">
        <v>45355</v>
      </c>
      <c r="F102" s="4" t="s">
        <v>22</v>
      </c>
      <c r="G102" s="4" t="s">
        <v>11</v>
      </c>
      <c r="H102" s="4" t="s">
        <v>12</v>
      </c>
      <c r="I102" s="4">
        <v>9</v>
      </c>
      <c r="J102" s="4">
        <v>112068</v>
      </c>
      <c r="K102" s="4">
        <v>9.41</v>
      </c>
      <c r="L102" s="4">
        <v>21776.01</v>
      </c>
      <c r="M102" s="4" t="s">
        <v>17</v>
      </c>
      <c r="N102" s="4" t="s">
        <v>21</v>
      </c>
    </row>
    <row r="103" spans="5:14" x14ac:dyDescent="0.25">
      <c r="E103" s="3">
        <v>45426</v>
      </c>
      <c r="F103" s="4" t="s">
        <v>15</v>
      </c>
      <c r="G103" s="4" t="s">
        <v>18</v>
      </c>
      <c r="H103" s="4" t="s">
        <v>12</v>
      </c>
      <c r="I103" s="4">
        <v>10</v>
      </c>
      <c r="J103" s="4">
        <v>131040</v>
      </c>
      <c r="K103" s="4">
        <v>9.43</v>
      </c>
      <c r="L103" s="4">
        <v>27220.1</v>
      </c>
      <c r="M103" s="4" t="s">
        <v>20</v>
      </c>
      <c r="N103" s="4" t="s">
        <v>21</v>
      </c>
    </row>
    <row r="104" spans="5:14" x14ac:dyDescent="0.25">
      <c r="E104" s="3">
        <v>45387</v>
      </c>
      <c r="F104" s="4" t="s">
        <v>15</v>
      </c>
      <c r="G104" s="4" t="s">
        <v>16</v>
      </c>
      <c r="H104" s="4" t="s">
        <v>19</v>
      </c>
      <c r="I104" s="4">
        <v>1</v>
      </c>
      <c r="J104" s="4">
        <v>45757</v>
      </c>
      <c r="K104" s="4">
        <v>9.5500000000000007</v>
      </c>
      <c r="L104" s="4">
        <v>10029</v>
      </c>
      <c r="M104" s="4" t="s">
        <v>13</v>
      </c>
      <c r="N104" s="4" t="s">
        <v>21</v>
      </c>
    </row>
    <row r="105" spans="5:14" hidden="1" x14ac:dyDescent="0.25">
      <c r="E105" s="3">
        <v>45382</v>
      </c>
      <c r="F105" s="4" t="s">
        <v>15</v>
      </c>
      <c r="G105" s="4" t="s">
        <v>23</v>
      </c>
      <c r="H105" s="4" t="s">
        <v>25</v>
      </c>
      <c r="I105" s="4">
        <v>9</v>
      </c>
      <c r="J105" s="4">
        <v>108027</v>
      </c>
      <c r="K105" s="4">
        <v>13.05</v>
      </c>
      <c r="L105" s="4">
        <v>33742.6</v>
      </c>
      <c r="M105" s="4" t="s">
        <v>17</v>
      </c>
      <c r="N105" s="4" t="s">
        <v>14</v>
      </c>
    </row>
    <row r="106" spans="5:14" x14ac:dyDescent="0.25">
      <c r="E106" s="3">
        <v>45438</v>
      </c>
      <c r="F106" s="4" t="s">
        <v>22</v>
      </c>
      <c r="G106" s="4" t="s">
        <v>23</v>
      </c>
      <c r="H106" s="4" t="s">
        <v>19</v>
      </c>
      <c r="I106" s="4">
        <v>4</v>
      </c>
      <c r="J106" s="4">
        <v>199412</v>
      </c>
      <c r="K106" s="4">
        <v>9.5500000000000007</v>
      </c>
      <c r="L106" s="4">
        <v>50319.99</v>
      </c>
      <c r="M106" s="4" t="s">
        <v>20</v>
      </c>
      <c r="N106" s="4" t="s">
        <v>21</v>
      </c>
    </row>
    <row r="107" spans="5:14" x14ac:dyDescent="0.25">
      <c r="E107" s="3">
        <v>45308</v>
      </c>
      <c r="F107" s="4" t="s">
        <v>15</v>
      </c>
      <c r="G107" s="4" t="s">
        <v>11</v>
      </c>
      <c r="H107" s="4" t="s">
        <v>25</v>
      </c>
      <c r="I107" s="4">
        <v>7</v>
      </c>
      <c r="J107" s="4">
        <v>99351</v>
      </c>
      <c r="K107" s="4">
        <v>9.61</v>
      </c>
      <c r="L107" s="4">
        <v>29103.17</v>
      </c>
      <c r="M107" s="4" t="s">
        <v>13</v>
      </c>
      <c r="N107" s="4" t="s">
        <v>21</v>
      </c>
    </row>
    <row r="108" spans="5:14" x14ac:dyDescent="0.25">
      <c r="E108" s="3">
        <v>45421</v>
      </c>
      <c r="F108" s="4" t="s">
        <v>10</v>
      </c>
      <c r="G108" s="4" t="s">
        <v>18</v>
      </c>
      <c r="H108" s="4" t="s">
        <v>25</v>
      </c>
      <c r="I108" s="4">
        <v>2</v>
      </c>
      <c r="J108" s="4">
        <v>31102</v>
      </c>
      <c r="K108" s="4">
        <v>9.89</v>
      </c>
      <c r="L108" s="4">
        <v>9599.14</v>
      </c>
      <c r="M108" s="4" t="s">
        <v>17</v>
      </c>
      <c r="N108" s="4" t="s">
        <v>21</v>
      </c>
    </row>
    <row r="109" spans="5:14" hidden="1" x14ac:dyDescent="0.25">
      <c r="E109" s="3">
        <v>45386</v>
      </c>
      <c r="F109" s="4" t="s">
        <v>22</v>
      </c>
      <c r="G109" s="4" t="s">
        <v>23</v>
      </c>
      <c r="H109" s="4" t="s">
        <v>19</v>
      </c>
      <c r="I109" s="4">
        <v>4</v>
      </c>
      <c r="J109" s="4">
        <v>200340</v>
      </c>
      <c r="K109" s="4">
        <v>10.37</v>
      </c>
      <c r="L109" s="4">
        <v>58302</v>
      </c>
      <c r="M109" s="4" t="s">
        <v>17</v>
      </c>
      <c r="N109" s="4" t="s">
        <v>14</v>
      </c>
    </row>
    <row r="110" spans="5:14" x14ac:dyDescent="0.25">
      <c r="E110" s="3">
        <v>45488</v>
      </c>
      <c r="F110" s="4" t="s">
        <v>24</v>
      </c>
      <c r="G110" s="4" t="s">
        <v>11</v>
      </c>
      <c r="H110" s="4" t="s">
        <v>25</v>
      </c>
      <c r="I110" s="4">
        <v>9</v>
      </c>
      <c r="J110" s="4">
        <v>136017</v>
      </c>
      <c r="K110" s="4">
        <v>9.9</v>
      </c>
      <c r="L110" s="4">
        <v>35363.17</v>
      </c>
      <c r="M110" s="4" t="s">
        <v>20</v>
      </c>
      <c r="N110" s="4" t="s">
        <v>21</v>
      </c>
    </row>
    <row r="111" spans="5:14" x14ac:dyDescent="0.25">
      <c r="E111" s="3">
        <v>45408</v>
      </c>
      <c r="F111" s="4" t="s">
        <v>10</v>
      </c>
      <c r="G111" s="4" t="s">
        <v>18</v>
      </c>
      <c r="H111" s="4" t="s">
        <v>19</v>
      </c>
      <c r="I111" s="4">
        <v>8</v>
      </c>
      <c r="J111" s="4">
        <v>383816</v>
      </c>
      <c r="K111" s="4">
        <v>9.93</v>
      </c>
      <c r="L111" s="4">
        <v>98585.48</v>
      </c>
      <c r="M111" s="4" t="s">
        <v>17</v>
      </c>
      <c r="N111" s="4" t="s">
        <v>21</v>
      </c>
    </row>
    <row r="112" spans="5:14" x14ac:dyDescent="0.25">
      <c r="E112" s="3">
        <v>45339</v>
      </c>
      <c r="F112" s="4" t="s">
        <v>10</v>
      </c>
      <c r="G112" s="4" t="s">
        <v>11</v>
      </c>
      <c r="H112" s="4" t="s">
        <v>19</v>
      </c>
      <c r="I112" s="4">
        <v>4</v>
      </c>
      <c r="J112" s="4">
        <v>190896</v>
      </c>
      <c r="K112" s="4">
        <v>9.9700000000000006</v>
      </c>
      <c r="L112" s="4">
        <v>47095.41</v>
      </c>
      <c r="M112" s="4" t="s">
        <v>17</v>
      </c>
      <c r="N112" s="4" t="s">
        <v>21</v>
      </c>
    </row>
    <row r="113" spans="4:14" hidden="1" x14ac:dyDescent="0.25">
      <c r="E113" s="3">
        <v>45390</v>
      </c>
      <c r="F113" s="4" t="s">
        <v>24</v>
      </c>
      <c r="G113" s="4" t="s">
        <v>16</v>
      </c>
      <c r="H113" s="4" t="s">
        <v>19</v>
      </c>
      <c r="I113" s="4">
        <v>1</v>
      </c>
      <c r="J113" s="4">
        <v>46746</v>
      </c>
      <c r="K113" s="4">
        <v>10.85</v>
      </c>
      <c r="L113" s="4">
        <v>13718.22</v>
      </c>
      <c r="M113" s="4" t="s">
        <v>20</v>
      </c>
      <c r="N113" s="4" t="s">
        <v>14</v>
      </c>
    </row>
    <row r="114" spans="4:14" hidden="1" x14ac:dyDescent="0.25">
      <c r="E114" s="3">
        <v>45391</v>
      </c>
      <c r="F114" s="4" t="s">
        <v>24</v>
      </c>
      <c r="G114" s="4" t="s">
        <v>16</v>
      </c>
      <c r="H114" s="4" t="s">
        <v>19</v>
      </c>
      <c r="I114" s="4">
        <v>9</v>
      </c>
      <c r="J114" s="4">
        <v>473499</v>
      </c>
      <c r="K114" s="4">
        <v>13.22</v>
      </c>
      <c r="L114" s="4">
        <v>123520.26</v>
      </c>
      <c r="M114" s="4" t="s">
        <v>17</v>
      </c>
      <c r="N114" s="4" t="s">
        <v>14</v>
      </c>
    </row>
    <row r="115" spans="4:14" x14ac:dyDescent="0.25">
      <c r="E115" s="3">
        <v>45474</v>
      </c>
      <c r="F115" s="4" t="s">
        <v>10</v>
      </c>
      <c r="G115" s="4" t="s">
        <v>16</v>
      </c>
      <c r="H115" s="4" t="s">
        <v>25</v>
      </c>
      <c r="I115" s="4">
        <v>5</v>
      </c>
      <c r="J115" s="4">
        <v>80840</v>
      </c>
      <c r="K115" s="4">
        <v>10.130000000000001</v>
      </c>
      <c r="L115" s="4">
        <v>17289.97</v>
      </c>
      <c r="M115" s="4" t="s">
        <v>13</v>
      </c>
      <c r="N115" s="4" t="s">
        <v>21</v>
      </c>
    </row>
    <row r="116" spans="4:14" x14ac:dyDescent="0.25">
      <c r="E116" s="3">
        <v>45481</v>
      </c>
      <c r="F116" s="4" t="s">
        <v>24</v>
      </c>
      <c r="G116" s="4" t="s">
        <v>23</v>
      </c>
      <c r="H116" s="4" t="s">
        <v>19</v>
      </c>
      <c r="I116" s="4">
        <v>4</v>
      </c>
      <c r="J116" s="4">
        <v>217472</v>
      </c>
      <c r="K116" s="4">
        <v>10.210000000000001</v>
      </c>
      <c r="L116" s="4">
        <v>54793.05</v>
      </c>
      <c r="M116" s="4" t="s">
        <v>20</v>
      </c>
      <c r="N116" s="4" t="s">
        <v>21</v>
      </c>
    </row>
    <row r="117" spans="4:14" hidden="1" x14ac:dyDescent="0.25">
      <c r="E117" s="3">
        <v>45394</v>
      </c>
      <c r="F117" s="4" t="s">
        <v>24</v>
      </c>
      <c r="G117" s="4" t="s">
        <v>18</v>
      </c>
      <c r="H117" s="4" t="s">
        <v>19</v>
      </c>
      <c r="I117" s="4">
        <v>8</v>
      </c>
      <c r="J117" s="4">
        <v>418984</v>
      </c>
      <c r="K117" s="4">
        <v>7.34</v>
      </c>
      <c r="L117" s="4">
        <v>125160.56</v>
      </c>
      <c r="M117" s="4" t="s">
        <v>17</v>
      </c>
      <c r="N117" s="4" t="s">
        <v>14</v>
      </c>
    </row>
    <row r="118" spans="4:14" hidden="1" x14ac:dyDescent="0.25">
      <c r="E118" s="3">
        <v>45395</v>
      </c>
      <c r="F118" s="4" t="s">
        <v>22</v>
      </c>
      <c r="G118" s="4" t="s">
        <v>16</v>
      </c>
      <c r="H118" s="4" t="s">
        <v>12</v>
      </c>
      <c r="I118" s="4">
        <v>5</v>
      </c>
      <c r="J118" s="4">
        <v>71350</v>
      </c>
      <c r="K118" s="4">
        <v>5.25</v>
      </c>
      <c r="L118" s="4">
        <v>16638.830000000002</v>
      </c>
      <c r="M118" s="4" t="s">
        <v>13</v>
      </c>
      <c r="N118" s="4" t="s">
        <v>14</v>
      </c>
    </row>
    <row r="119" spans="4:14" hidden="1" x14ac:dyDescent="0.25">
      <c r="E119" s="3">
        <v>45396</v>
      </c>
      <c r="F119" s="4" t="s">
        <v>24</v>
      </c>
      <c r="G119" s="4" t="s">
        <v>16</v>
      </c>
      <c r="H119" s="4" t="s">
        <v>25</v>
      </c>
      <c r="I119" s="4">
        <v>8</v>
      </c>
      <c r="J119" s="4">
        <v>101072</v>
      </c>
      <c r="K119" s="4">
        <v>13.84</v>
      </c>
      <c r="L119" s="4">
        <v>27932.560000000001</v>
      </c>
      <c r="M119" s="4" t="s">
        <v>20</v>
      </c>
      <c r="N119" s="4" t="s">
        <v>14</v>
      </c>
    </row>
    <row r="120" spans="4:14" x14ac:dyDescent="0.25">
      <c r="E120" s="3">
        <v>45470</v>
      </c>
      <c r="F120" s="4" t="s">
        <v>15</v>
      </c>
      <c r="G120" s="4" t="s">
        <v>23</v>
      </c>
      <c r="H120" s="4" t="s">
        <v>12</v>
      </c>
      <c r="I120" s="4">
        <v>3</v>
      </c>
      <c r="J120" s="4">
        <v>37077</v>
      </c>
      <c r="K120" s="4">
        <v>10.26</v>
      </c>
      <c r="L120" s="4">
        <v>9590.5</v>
      </c>
      <c r="M120" s="4" t="s">
        <v>13</v>
      </c>
      <c r="N120" s="4" t="s">
        <v>21</v>
      </c>
    </row>
    <row r="121" spans="4:14" hidden="1" x14ac:dyDescent="0.25">
      <c r="E121" s="3">
        <v>45398</v>
      </c>
      <c r="F121" s="4" t="s">
        <v>10</v>
      </c>
      <c r="G121" s="4" t="s">
        <v>16</v>
      </c>
      <c r="H121" s="4" t="s">
        <v>19</v>
      </c>
      <c r="I121" s="4">
        <v>4</v>
      </c>
      <c r="J121" s="4">
        <v>205100</v>
      </c>
      <c r="K121" s="4">
        <v>14.15</v>
      </c>
      <c r="L121" s="4">
        <v>65084.4</v>
      </c>
      <c r="M121" s="4" t="s">
        <v>13</v>
      </c>
      <c r="N121" s="4" t="s">
        <v>14</v>
      </c>
    </row>
    <row r="122" spans="4:14" hidden="1" x14ac:dyDescent="0.25">
      <c r="E122" s="3">
        <v>45399</v>
      </c>
      <c r="F122" s="4" t="s">
        <v>15</v>
      </c>
      <c r="G122" s="4" t="s">
        <v>16</v>
      </c>
      <c r="H122" s="4" t="s">
        <v>19</v>
      </c>
      <c r="I122" s="4">
        <v>7</v>
      </c>
      <c r="J122" s="4">
        <v>361746</v>
      </c>
      <c r="K122" s="4">
        <v>7.21</v>
      </c>
      <c r="L122" s="4">
        <v>99372.75</v>
      </c>
      <c r="M122" s="4" t="s">
        <v>17</v>
      </c>
      <c r="N122" s="4" t="s">
        <v>14</v>
      </c>
    </row>
    <row r="123" spans="4:14" hidden="1" x14ac:dyDescent="0.25">
      <c r="E123" s="3">
        <v>45400</v>
      </c>
      <c r="F123" s="4" t="s">
        <v>22</v>
      </c>
      <c r="G123" s="4" t="s">
        <v>18</v>
      </c>
      <c r="H123" s="4" t="s">
        <v>25</v>
      </c>
      <c r="I123" s="4">
        <v>1</v>
      </c>
      <c r="J123" s="4">
        <v>13694</v>
      </c>
      <c r="K123" s="4">
        <v>5.63</v>
      </c>
      <c r="L123" s="4">
        <v>3735.93</v>
      </c>
      <c r="M123" s="4" t="s">
        <v>17</v>
      </c>
      <c r="N123" s="4" t="s">
        <v>14</v>
      </c>
    </row>
    <row r="124" spans="4:14" hidden="1" x14ac:dyDescent="0.25">
      <c r="E124" s="3">
        <v>45401</v>
      </c>
      <c r="F124" s="4" t="s">
        <v>24</v>
      </c>
      <c r="G124" s="4" t="s">
        <v>18</v>
      </c>
      <c r="H124" s="4" t="s">
        <v>12</v>
      </c>
      <c r="I124" s="4">
        <v>1</v>
      </c>
      <c r="J124" s="4">
        <v>14716</v>
      </c>
      <c r="K124" s="4">
        <v>13.24</v>
      </c>
      <c r="L124" s="4">
        <v>4650.78</v>
      </c>
      <c r="M124" s="4" t="s">
        <v>20</v>
      </c>
      <c r="N124" s="4" t="s">
        <v>14</v>
      </c>
    </row>
    <row r="125" spans="4:14" x14ac:dyDescent="0.25">
      <c r="E125" s="3">
        <v>45365</v>
      </c>
      <c r="F125" s="4" t="s">
        <v>10</v>
      </c>
      <c r="G125" s="4" t="s">
        <v>23</v>
      </c>
      <c r="H125" s="4" t="s">
        <v>19</v>
      </c>
      <c r="I125" s="4">
        <v>4</v>
      </c>
      <c r="J125" s="4">
        <v>186736</v>
      </c>
      <c r="K125" s="4">
        <v>10.31</v>
      </c>
      <c r="L125" s="4">
        <v>51052.41</v>
      </c>
      <c r="M125" s="4" t="s">
        <v>13</v>
      </c>
      <c r="N125" s="4" t="s">
        <v>21</v>
      </c>
    </row>
    <row r="126" spans="4:14" x14ac:dyDescent="0.25">
      <c r="E126" s="3">
        <v>45397</v>
      </c>
      <c r="F126" s="4" t="s">
        <v>22</v>
      </c>
      <c r="G126" s="4" t="s">
        <v>16</v>
      </c>
      <c r="H126" s="4" t="s">
        <v>25</v>
      </c>
      <c r="I126" s="4">
        <v>6</v>
      </c>
      <c r="J126" s="4">
        <v>87714</v>
      </c>
      <c r="K126" s="4">
        <v>10.61</v>
      </c>
      <c r="L126" s="4">
        <v>28820.62</v>
      </c>
      <c r="M126" s="4" t="s">
        <v>13</v>
      </c>
      <c r="N126" s="4" t="s">
        <v>21</v>
      </c>
    </row>
    <row r="127" spans="4:14" x14ac:dyDescent="0.25">
      <c r="D127" t="s">
        <v>27</v>
      </c>
      <c r="E127" s="3">
        <v>45299</v>
      </c>
      <c r="F127" s="4" t="s">
        <v>10</v>
      </c>
      <c r="G127" s="4" t="s">
        <v>18</v>
      </c>
      <c r="H127" s="4" t="s">
        <v>19</v>
      </c>
      <c r="I127" s="4">
        <v>6</v>
      </c>
      <c r="J127" s="4">
        <v>303810</v>
      </c>
      <c r="K127" s="4">
        <v>10.66</v>
      </c>
      <c r="L127" s="4">
        <v>78639.429999999993</v>
      </c>
      <c r="M127" s="4" t="s">
        <v>20</v>
      </c>
      <c r="N127" s="4" t="s">
        <v>21</v>
      </c>
    </row>
    <row r="128" spans="4:14" hidden="1" x14ac:dyDescent="0.25">
      <c r="E128" s="3">
        <v>45405</v>
      </c>
      <c r="F128" s="4" t="s">
        <v>24</v>
      </c>
      <c r="G128" s="4" t="s">
        <v>11</v>
      </c>
      <c r="H128" s="4" t="s">
        <v>25</v>
      </c>
      <c r="I128" s="4">
        <v>6</v>
      </c>
      <c r="J128" s="4">
        <v>104874</v>
      </c>
      <c r="K128" s="4">
        <v>6.4</v>
      </c>
      <c r="L128" s="4">
        <v>28663.65</v>
      </c>
      <c r="M128" s="4" t="s">
        <v>17</v>
      </c>
      <c r="N128" s="4" t="s">
        <v>14</v>
      </c>
    </row>
    <row r="129" spans="2:14" hidden="1" x14ac:dyDescent="0.25">
      <c r="E129" s="3">
        <v>45406</v>
      </c>
      <c r="F129" s="4" t="s">
        <v>24</v>
      </c>
      <c r="G129" s="4" t="s">
        <v>16</v>
      </c>
      <c r="H129" s="4" t="s">
        <v>25</v>
      </c>
      <c r="I129" s="4">
        <v>3</v>
      </c>
      <c r="J129" s="4">
        <v>51291</v>
      </c>
      <c r="K129" s="4">
        <v>14.46</v>
      </c>
      <c r="L129" s="4">
        <v>15884.14</v>
      </c>
      <c r="M129" s="4" t="s">
        <v>13</v>
      </c>
      <c r="N129" s="4" t="s">
        <v>14</v>
      </c>
    </row>
    <row r="130" spans="2:14" x14ac:dyDescent="0.25">
      <c r="B130" s="3">
        <v>44204</v>
      </c>
      <c r="D130" t="s">
        <v>28</v>
      </c>
      <c r="E130" s="3">
        <v>45318</v>
      </c>
      <c r="F130" s="4" t="s">
        <v>15</v>
      </c>
      <c r="G130" s="4" t="s">
        <v>18</v>
      </c>
      <c r="H130" s="4" t="s">
        <v>19</v>
      </c>
      <c r="I130" s="4">
        <v>5</v>
      </c>
      <c r="J130" s="4">
        <v>266005</v>
      </c>
      <c r="K130" s="4">
        <v>10.88</v>
      </c>
      <c r="L130" s="4">
        <v>82770.679999999993</v>
      </c>
      <c r="M130" s="4" t="s">
        <v>13</v>
      </c>
      <c r="N130" s="4" t="s">
        <v>21</v>
      </c>
    </row>
    <row r="131" spans="2:14" x14ac:dyDescent="0.25">
      <c r="B131" s="3">
        <v>45318</v>
      </c>
      <c r="D131" t="s">
        <v>29</v>
      </c>
      <c r="E131" s="3">
        <v>45441</v>
      </c>
      <c r="F131" s="4" t="s">
        <v>22</v>
      </c>
      <c r="G131" s="4" t="s">
        <v>16</v>
      </c>
      <c r="H131" s="4" t="s">
        <v>12</v>
      </c>
      <c r="I131" s="4">
        <v>8</v>
      </c>
      <c r="J131" s="4">
        <v>86720</v>
      </c>
      <c r="K131" s="4">
        <v>10.97</v>
      </c>
      <c r="L131" s="4">
        <v>18324.5</v>
      </c>
      <c r="M131" s="4" t="s">
        <v>13</v>
      </c>
      <c r="N131" s="4" t="s">
        <v>21</v>
      </c>
    </row>
    <row r="132" spans="2:14" x14ac:dyDescent="0.25">
      <c r="B132" s="3">
        <v>45318</v>
      </c>
      <c r="E132" s="3">
        <v>45304</v>
      </c>
      <c r="F132" s="4" t="s">
        <v>24</v>
      </c>
      <c r="G132" s="4" t="s">
        <v>23</v>
      </c>
      <c r="H132" s="4" t="s">
        <v>25</v>
      </c>
      <c r="I132" s="4">
        <v>6</v>
      </c>
      <c r="J132" s="4">
        <v>79992</v>
      </c>
      <c r="K132" s="4">
        <v>11.2</v>
      </c>
      <c r="L132" s="4">
        <v>17628.84</v>
      </c>
      <c r="M132" s="4" t="s">
        <v>17</v>
      </c>
      <c r="N132" s="4" t="s">
        <v>21</v>
      </c>
    </row>
    <row r="133" spans="2:14" x14ac:dyDescent="0.25">
      <c r="B133" s="3">
        <v>45318</v>
      </c>
      <c r="E133" s="3">
        <v>45346</v>
      </c>
      <c r="F133" s="4" t="s">
        <v>10</v>
      </c>
      <c r="G133" s="4" t="s">
        <v>11</v>
      </c>
      <c r="H133" s="4" t="s">
        <v>19</v>
      </c>
      <c r="I133" s="4">
        <v>2</v>
      </c>
      <c r="J133" s="4">
        <v>109498</v>
      </c>
      <c r="K133" s="4">
        <v>11.21</v>
      </c>
      <c r="L133" s="4">
        <v>25458.06</v>
      </c>
      <c r="M133" s="4" t="s">
        <v>13</v>
      </c>
      <c r="N133" s="4" t="s">
        <v>21</v>
      </c>
    </row>
    <row r="134" spans="2:14" hidden="1" x14ac:dyDescent="0.25">
      <c r="B134" s="3">
        <v>45346</v>
      </c>
      <c r="E134" s="3">
        <v>45411</v>
      </c>
      <c r="F134" s="4" t="s">
        <v>24</v>
      </c>
      <c r="G134" s="4" t="s">
        <v>23</v>
      </c>
      <c r="H134" s="4" t="s">
        <v>19</v>
      </c>
      <c r="I134" s="4">
        <v>8</v>
      </c>
      <c r="J134" s="4">
        <v>362536</v>
      </c>
      <c r="K134" s="4">
        <v>6.36</v>
      </c>
      <c r="L134" s="4">
        <v>104247.49</v>
      </c>
      <c r="M134" s="4" t="s">
        <v>13</v>
      </c>
      <c r="N134" s="4" t="s">
        <v>14</v>
      </c>
    </row>
    <row r="135" spans="2:14" hidden="1" x14ac:dyDescent="0.25">
      <c r="B135" s="3">
        <v>45351</v>
      </c>
      <c r="E135" s="3">
        <v>45412</v>
      </c>
      <c r="F135" s="4" t="s">
        <v>10</v>
      </c>
      <c r="G135" s="4" t="s">
        <v>23</v>
      </c>
      <c r="H135" s="4" t="s">
        <v>19</v>
      </c>
      <c r="I135" s="4">
        <v>2</v>
      </c>
      <c r="J135" s="4">
        <v>91318</v>
      </c>
      <c r="K135" s="4">
        <v>9.5399999999999991</v>
      </c>
      <c r="L135" s="4">
        <v>18682.37</v>
      </c>
      <c r="M135" s="4" t="s">
        <v>20</v>
      </c>
      <c r="N135" s="4" t="s">
        <v>14</v>
      </c>
    </row>
    <row r="136" spans="2:14" x14ac:dyDescent="0.25">
      <c r="B136" s="3">
        <v>43127</v>
      </c>
      <c r="E136" s="3">
        <v>45351</v>
      </c>
      <c r="F136" s="4" t="s">
        <v>22</v>
      </c>
      <c r="G136" s="4" t="s">
        <v>11</v>
      </c>
      <c r="H136" s="4" t="s">
        <v>19</v>
      </c>
      <c r="I136" s="4">
        <v>8</v>
      </c>
      <c r="J136" s="4">
        <v>433792</v>
      </c>
      <c r="K136" s="4">
        <v>11.28</v>
      </c>
      <c r="L136" s="4">
        <v>97909.2</v>
      </c>
      <c r="M136" s="4" t="s">
        <v>20</v>
      </c>
      <c r="N136" s="4" t="s">
        <v>21</v>
      </c>
    </row>
    <row r="137" spans="2:14" x14ac:dyDescent="0.25">
      <c r="B137" s="3">
        <v>45318</v>
      </c>
      <c r="E137" s="3">
        <v>45345</v>
      </c>
      <c r="F137" s="4" t="s">
        <v>10</v>
      </c>
      <c r="G137" s="4" t="s">
        <v>18</v>
      </c>
      <c r="H137" s="4" t="s">
        <v>12</v>
      </c>
      <c r="I137" s="4">
        <v>9</v>
      </c>
      <c r="J137" s="4">
        <v>101601</v>
      </c>
      <c r="K137" s="4">
        <v>11.37</v>
      </c>
      <c r="L137" s="4">
        <v>29096.38</v>
      </c>
      <c r="M137" s="4" t="s">
        <v>20</v>
      </c>
      <c r="N137" s="4" t="s">
        <v>21</v>
      </c>
    </row>
    <row r="138" spans="2:14" x14ac:dyDescent="0.25">
      <c r="B138" s="3">
        <v>45318</v>
      </c>
      <c r="E138" s="3">
        <v>45319</v>
      </c>
      <c r="F138" s="4" t="s">
        <v>15</v>
      </c>
      <c r="G138" s="4" t="s">
        <v>11</v>
      </c>
      <c r="H138" s="4" t="s">
        <v>12</v>
      </c>
      <c r="I138" s="4">
        <v>5</v>
      </c>
      <c r="J138" s="4">
        <v>70790</v>
      </c>
      <c r="K138" s="4">
        <v>11.39</v>
      </c>
      <c r="L138" s="4">
        <v>15059.94</v>
      </c>
      <c r="M138" s="4" t="s">
        <v>20</v>
      </c>
      <c r="N138" s="4" t="s">
        <v>21</v>
      </c>
    </row>
    <row r="139" spans="2:14" x14ac:dyDescent="0.25">
      <c r="B139" s="3">
        <v>45318</v>
      </c>
      <c r="E139" s="3">
        <v>45332</v>
      </c>
      <c r="F139" s="4" t="s">
        <v>15</v>
      </c>
      <c r="G139" s="4" t="s">
        <v>18</v>
      </c>
      <c r="H139" s="4" t="s">
        <v>19</v>
      </c>
      <c r="I139" s="4">
        <v>8</v>
      </c>
      <c r="J139" s="4">
        <v>413352</v>
      </c>
      <c r="K139" s="4">
        <v>11.58</v>
      </c>
      <c r="L139" s="4">
        <v>102769.81</v>
      </c>
      <c r="M139" s="4" t="s">
        <v>20</v>
      </c>
      <c r="N139" s="4" t="s">
        <v>21</v>
      </c>
    </row>
    <row r="140" spans="2:14" hidden="1" x14ac:dyDescent="0.25">
      <c r="B140" s="3">
        <v>45439</v>
      </c>
      <c r="E140" s="3">
        <v>45417</v>
      </c>
      <c r="F140" s="4" t="s">
        <v>10</v>
      </c>
      <c r="G140" s="4" t="s">
        <v>23</v>
      </c>
      <c r="H140" s="4" t="s">
        <v>12</v>
      </c>
      <c r="I140" s="4">
        <v>7</v>
      </c>
      <c r="J140" s="4">
        <v>92743</v>
      </c>
      <c r="K140" s="4">
        <v>12.42</v>
      </c>
      <c r="L140" s="4">
        <v>24812</v>
      </c>
      <c r="M140" s="4" t="s">
        <v>13</v>
      </c>
      <c r="N140" s="4" t="s">
        <v>14</v>
      </c>
    </row>
    <row r="141" spans="2:14" hidden="1" x14ac:dyDescent="0.25">
      <c r="B141" s="3">
        <v>45413</v>
      </c>
      <c r="E141" s="3">
        <v>45418</v>
      </c>
      <c r="F141" s="4" t="s">
        <v>15</v>
      </c>
      <c r="G141" s="4" t="s">
        <v>11</v>
      </c>
      <c r="H141" s="4" t="s">
        <v>12</v>
      </c>
      <c r="I141" s="4">
        <v>4</v>
      </c>
      <c r="J141" s="4">
        <v>43336</v>
      </c>
      <c r="K141" s="4">
        <v>6.55</v>
      </c>
      <c r="L141" s="4">
        <v>9477.9699999999993</v>
      </c>
      <c r="M141" s="4" t="s">
        <v>13</v>
      </c>
      <c r="N141" s="4" t="s">
        <v>14</v>
      </c>
    </row>
    <row r="142" spans="2:14" hidden="1" x14ac:dyDescent="0.25">
      <c r="B142" s="3">
        <v>45389</v>
      </c>
      <c r="E142" s="3">
        <v>45419</v>
      </c>
      <c r="F142" s="4" t="s">
        <v>22</v>
      </c>
      <c r="G142" s="4" t="s">
        <v>11</v>
      </c>
      <c r="H142" s="4" t="s">
        <v>12</v>
      </c>
      <c r="I142" s="4">
        <v>1</v>
      </c>
      <c r="J142" s="4">
        <v>12844</v>
      </c>
      <c r="K142" s="4">
        <v>9.15</v>
      </c>
      <c r="L142" s="4">
        <v>2850.45</v>
      </c>
      <c r="M142" s="4" t="s">
        <v>13</v>
      </c>
      <c r="N142" s="4" t="s">
        <v>14</v>
      </c>
    </row>
    <row r="143" spans="2:14" hidden="1" x14ac:dyDescent="0.25">
      <c r="B143" s="3">
        <v>45388</v>
      </c>
      <c r="E143" s="3">
        <v>45420</v>
      </c>
      <c r="F143" s="4" t="s">
        <v>24</v>
      </c>
      <c r="G143" s="4" t="s">
        <v>23</v>
      </c>
      <c r="H143" s="4" t="s">
        <v>19</v>
      </c>
      <c r="I143" s="4">
        <v>9</v>
      </c>
      <c r="J143" s="4">
        <v>455310</v>
      </c>
      <c r="K143" s="4">
        <v>5.99</v>
      </c>
      <c r="L143" s="4">
        <v>107464.84</v>
      </c>
      <c r="M143" s="4" t="s">
        <v>17</v>
      </c>
      <c r="N143" s="4" t="s">
        <v>14</v>
      </c>
    </row>
    <row r="144" spans="2:14" x14ac:dyDescent="0.25">
      <c r="B144" s="3">
        <v>45318</v>
      </c>
      <c r="E144" s="3">
        <v>45461</v>
      </c>
      <c r="F144" s="4" t="s">
        <v>10</v>
      </c>
      <c r="G144" s="4" t="s">
        <v>23</v>
      </c>
      <c r="H144" s="4" t="s">
        <v>12</v>
      </c>
      <c r="I144" s="4">
        <v>1</v>
      </c>
      <c r="J144" s="4">
        <v>11435</v>
      </c>
      <c r="K144" s="4">
        <v>11.61</v>
      </c>
      <c r="L144" s="4">
        <v>2907.66</v>
      </c>
      <c r="M144" s="4" t="s">
        <v>13</v>
      </c>
      <c r="N144" s="4" t="s">
        <v>21</v>
      </c>
    </row>
    <row r="145" spans="2:14" x14ac:dyDescent="0.25">
      <c r="B145" s="3">
        <v>45318</v>
      </c>
      <c r="E145" s="3">
        <v>45439</v>
      </c>
      <c r="F145" s="4" t="s">
        <v>15</v>
      </c>
      <c r="G145" s="4" t="s">
        <v>23</v>
      </c>
      <c r="H145" s="4" t="s">
        <v>19</v>
      </c>
      <c r="I145" s="4">
        <v>5</v>
      </c>
      <c r="J145" s="4">
        <v>226155</v>
      </c>
      <c r="K145" s="4">
        <v>11.63</v>
      </c>
      <c r="L145" s="4">
        <v>72842.820000000007</v>
      </c>
      <c r="M145" s="4" t="s">
        <v>20</v>
      </c>
      <c r="N145" s="4" t="s">
        <v>21</v>
      </c>
    </row>
    <row r="146" spans="2:14" hidden="1" x14ac:dyDescent="0.25">
      <c r="E146" s="3">
        <v>45423</v>
      </c>
      <c r="F146" s="4" t="s">
        <v>15</v>
      </c>
      <c r="G146" s="4" t="s">
        <v>23</v>
      </c>
      <c r="H146" s="4" t="s">
        <v>12</v>
      </c>
      <c r="I146" s="4">
        <v>9</v>
      </c>
      <c r="J146" s="4">
        <v>125640</v>
      </c>
      <c r="K146" s="4">
        <v>14.52</v>
      </c>
      <c r="L146" s="4">
        <v>39855.519999999997</v>
      </c>
      <c r="M146" s="4" t="s">
        <v>20</v>
      </c>
      <c r="N146" s="4" t="s">
        <v>14</v>
      </c>
    </row>
    <row r="147" spans="2:14" x14ac:dyDescent="0.25">
      <c r="E147" s="3">
        <v>45413</v>
      </c>
      <c r="F147" s="4" t="s">
        <v>10</v>
      </c>
      <c r="G147" s="4" t="s">
        <v>16</v>
      </c>
      <c r="H147" s="4" t="s">
        <v>19</v>
      </c>
      <c r="I147" s="4">
        <v>1</v>
      </c>
      <c r="J147" s="4">
        <v>47496</v>
      </c>
      <c r="K147" s="4">
        <v>11.7</v>
      </c>
      <c r="L147" s="4">
        <v>15777.4</v>
      </c>
      <c r="M147" s="4" t="s">
        <v>13</v>
      </c>
      <c r="N147" s="4" t="s">
        <v>21</v>
      </c>
    </row>
    <row r="148" spans="2:14" x14ac:dyDescent="0.25">
      <c r="E148" s="3">
        <v>45389</v>
      </c>
      <c r="F148" s="4" t="s">
        <v>24</v>
      </c>
      <c r="G148" s="4" t="s">
        <v>16</v>
      </c>
      <c r="H148" s="4" t="s">
        <v>12</v>
      </c>
      <c r="I148" s="4">
        <v>7</v>
      </c>
      <c r="J148" s="4">
        <v>98343</v>
      </c>
      <c r="K148" s="4">
        <v>11.72</v>
      </c>
      <c r="L148" s="4">
        <v>27634.240000000002</v>
      </c>
      <c r="M148" s="4" t="s">
        <v>20</v>
      </c>
      <c r="N148" s="4" t="s">
        <v>21</v>
      </c>
    </row>
    <row r="149" spans="2:14" x14ac:dyDescent="0.25">
      <c r="B149" t="s">
        <v>30</v>
      </c>
      <c r="E149" s="3">
        <v>45388</v>
      </c>
      <c r="F149" s="4" t="s">
        <v>15</v>
      </c>
      <c r="G149" s="4" t="s">
        <v>18</v>
      </c>
      <c r="H149" s="4" t="s">
        <v>12</v>
      </c>
      <c r="I149" s="4">
        <v>2</v>
      </c>
      <c r="J149" s="4">
        <v>27460</v>
      </c>
      <c r="K149" s="4">
        <v>11.73</v>
      </c>
      <c r="L149" s="4">
        <v>8866.61</v>
      </c>
      <c r="M149" s="4" t="s">
        <v>20</v>
      </c>
      <c r="N149" s="4" t="s">
        <v>21</v>
      </c>
    </row>
    <row r="150" spans="2:14" hidden="1" x14ac:dyDescent="0.25">
      <c r="E150" s="3">
        <v>45427</v>
      </c>
      <c r="F150" s="4" t="s">
        <v>22</v>
      </c>
      <c r="G150" s="4" t="s">
        <v>11</v>
      </c>
      <c r="H150" s="4" t="s">
        <v>25</v>
      </c>
      <c r="I150" s="4">
        <v>6</v>
      </c>
      <c r="J150" s="4">
        <v>80934</v>
      </c>
      <c r="K150" s="4">
        <v>14.51</v>
      </c>
      <c r="L150" s="4">
        <v>19492.05</v>
      </c>
      <c r="M150" s="4" t="s">
        <v>13</v>
      </c>
      <c r="N150" s="4" t="s">
        <v>14</v>
      </c>
    </row>
    <row r="151" spans="2:14" x14ac:dyDescent="0.25">
      <c r="B151">
        <v>46</v>
      </c>
      <c r="C151">
        <v>0.6</v>
      </c>
      <c r="E151" s="3">
        <v>45314</v>
      </c>
      <c r="F151" s="4" t="s">
        <v>10</v>
      </c>
      <c r="G151" s="4" t="s">
        <v>11</v>
      </c>
      <c r="H151" s="4" t="s">
        <v>19</v>
      </c>
      <c r="I151" s="4">
        <v>3</v>
      </c>
      <c r="J151" s="4">
        <v>155748</v>
      </c>
      <c r="K151" s="4">
        <v>11.78</v>
      </c>
      <c r="L151" s="4">
        <v>50732.97</v>
      </c>
      <c r="M151" s="4" t="s">
        <v>17</v>
      </c>
      <c r="N151" s="4" t="s">
        <v>21</v>
      </c>
    </row>
    <row r="152" spans="2:14" x14ac:dyDescent="0.25">
      <c r="B152">
        <v>56</v>
      </c>
      <c r="C152" t="s">
        <v>31</v>
      </c>
      <c r="E152" s="3">
        <v>45347</v>
      </c>
      <c r="F152" s="4" t="s">
        <v>10</v>
      </c>
      <c r="G152" s="4" t="s">
        <v>16</v>
      </c>
      <c r="H152" s="4" t="s">
        <v>25</v>
      </c>
      <c r="I152" s="4">
        <v>2</v>
      </c>
      <c r="J152" s="4">
        <v>33332</v>
      </c>
      <c r="K152" s="4">
        <v>11.78</v>
      </c>
      <c r="L152" s="4">
        <v>8744.9699999999993</v>
      </c>
      <c r="M152" s="4" t="s">
        <v>17</v>
      </c>
      <c r="N152" s="4" t="s">
        <v>21</v>
      </c>
    </row>
    <row r="153" spans="2:14" hidden="1" x14ac:dyDescent="0.25">
      <c r="E153" s="3">
        <v>45430</v>
      </c>
      <c r="F153" s="4" t="s">
        <v>15</v>
      </c>
      <c r="G153" s="4" t="s">
        <v>11</v>
      </c>
      <c r="H153" s="4" t="s">
        <v>19</v>
      </c>
      <c r="I153" s="4">
        <v>7</v>
      </c>
      <c r="J153" s="4">
        <v>371028</v>
      </c>
      <c r="K153" s="4">
        <v>11.86</v>
      </c>
      <c r="L153" s="4">
        <v>113815.06</v>
      </c>
      <c r="M153" s="4" t="s">
        <v>13</v>
      </c>
      <c r="N153" s="4" t="s">
        <v>14</v>
      </c>
    </row>
    <row r="154" spans="2:14" hidden="1" x14ac:dyDescent="0.25">
      <c r="E154" s="3">
        <v>45431</v>
      </c>
      <c r="F154" s="4" t="s">
        <v>15</v>
      </c>
      <c r="G154" s="4" t="s">
        <v>18</v>
      </c>
      <c r="H154" s="4" t="s">
        <v>12</v>
      </c>
      <c r="I154" s="4">
        <v>8</v>
      </c>
      <c r="J154" s="4">
        <v>109368</v>
      </c>
      <c r="K154" s="4">
        <v>10.44</v>
      </c>
      <c r="L154" s="4">
        <v>27257.8</v>
      </c>
      <c r="M154" s="4" t="s">
        <v>13</v>
      </c>
      <c r="N154" s="4" t="s">
        <v>14</v>
      </c>
    </row>
    <row r="155" spans="2:14" hidden="1" x14ac:dyDescent="0.25">
      <c r="E155" s="3">
        <v>45432</v>
      </c>
      <c r="F155" s="4" t="s">
        <v>10</v>
      </c>
      <c r="G155" s="4" t="s">
        <v>11</v>
      </c>
      <c r="H155" s="4" t="s">
        <v>25</v>
      </c>
      <c r="I155" s="4">
        <v>4</v>
      </c>
      <c r="J155" s="4">
        <v>61248</v>
      </c>
      <c r="K155" s="4">
        <v>14.78</v>
      </c>
      <c r="L155" s="4">
        <v>17998.27</v>
      </c>
      <c r="M155" s="4" t="s">
        <v>17</v>
      </c>
      <c r="N155" s="4" t="s">
        <v>14</v>
      </c>
    </row>
    <row r="156" spans="2:14" hidden="1" x14ac:dyDescent="0.25">
      <c r="E156" s="3">
        <v>45433</v>
      </c>
      <c r="F156" s="4" t="s">
        <v>15</v>
      </c>
      <c r="G156" s="4" t="s">
        <v>23</v>
      </c>
      <c r="H156" s="4" t="s">
        <v>12</v>
      </c>
      <c r="I156" s="4">
        <v>10</v>
      </c>
      <c r="J156" s="4">
        <v>130230</v>
      </c>
      <c r="K156" s="4">
        <v>8.59</v>
      </c>
      <c r="L156" s="4">
        <v>33877.129999999997</v>
      </c>
      <c r="M156" s="4" t="s">
        <v>20</v>
      </c>
      <c r="N156" s="4" t="s">
        <v>14</v>
      </c>
    </row>
    <row r="157" spans="2:14" x14ac:dyDescent="0.25">
      <c r="B157">
        <v>78</v>
      </c>
      <c r="C157" t="s">
        <v>32</v>
      </c>
      <c r="E157" s="3">
        <v>45348</v>
      </c>
      <c r="F157" s="4" t="s">
        <v>15</v>
      </c>
      <c r="G157" s="4" t="s">
        <v>11</v>
      </c>
      <c r="H157" s="4" t="s">
        <v>12</v>
      </c>
      <c r="I157" s="4">
        <v>2</v>
      </c>
      <c r="J157" s="4">
        <v>26868</v>
      </c>
      <c r="K157" s="4">
        <v>12.21</v>
      </c>
      <c r="L157" s="4">
        <v>6321.23</v>
      </c>
      <c r="M157" s="4" t="s">
        <v>13</v>
      </c>
      <c r="N157" s="4" t="s">
        <v>21</v>
      </c>
    </row>
    <row r="158" spans="2:14" hidden="1" x14ac:dyDescent="0.25">
      <c r="E158" s="3">
        <v>45435</v>
      </c>
      <c r="F158" s="4" t="s">
        <v>22</v>
      </c>
      <c r="G158" s="4" t="s">
        <v>18</v>
      </c>
      <c r="H158" s="4" t="s">
        <v>25</v>
      </c>
      <c r="I158" s="4">
        <v>5</v>
      </c>
      <c r="J158" s="4">
        <v>70295</v>
      </c>
      <c r="K158" s="4">
        <v>6.9</v>
      </c>
      <c r="L158" s="4">
        <v>17877.54</v>
      </c>
      <c r="M158" s="4" t="s">
        <v>17</v>
      </c>
      <c r="N158" s="4" t="s">
        <v>14</v>
      </c>
    </row>
    <row r="159" spans="2:14" x14ac:dyDescent="0.25">
      <c r="B159">
        <v>45</v>
      </c>
      <c r="C159" t="s">
        <v>32</v>
      </c>
      <c r="E159" s="3">
        <v>45379</v>
      </c>
      <c r="F159" s="4" t="s">
        <v>22</v>
      </c>
      <c r="G159" s="4" t="s">
        <v>23</v>
      </c>
      <c r="H159" s="4" t="s">
        <v>12</v>
      </c>
      <c r="I159" s="4">
        <v>2</v>
      </c>
      <c r="J159" s="4">
        <v>24920</v>
      </c>
      <c r="K159" s="4">
        <v>12.24</v>
      </c>
      <c r="L159" s="4">
        <v>8001.7</v>
      </c>
      <c r="M159" s="4" t="s">
        <v>17</v>
      </c>
      <c r="N159" s="4" t="s">
        <v>21</v>
      </c>
    </row>
    <row r="160" spans="2:14" hidden="1" x14ac:dyDescent="0.25">
      <c r="E160" s="3">
        <v>45437</v>
      </c>
      <c r="F160" s="4" t="s">
        <v>10</v>
      </c>
      <c r="G160" s="4" t="s">
        <v>16</v>
      </c>
      <c r="H160" s="4" t="s">
        <v>19</v>
      </c>
      <c r="I160" s="4">
        <v>4</v>
      </c>
      <c r="J160" s="4">
        <v>211732</v>
      </c>
      <c r="K160" s="4">
        <v>13.48</v>
      </c>
      <c r="L160" s="4">
        <v>69719.600000000006</v>
      </c>
      <c r="M160" s="4" t="s">
        <v>13</v>
      </c>
      <c r="N160" s="4" t="s">
        <v>14</v>
      </c>
    </row>
    <row r="161" spans="2:14" x14ac:dyDescent="0.25">
      <c r="B161">
        <v>99</v>
      </c>
      <c r="C161" t="s">
        <v>33</v>
      </c>
      <c r="E161" s="3">
        <v>45357</v>
      </c>
      <c r="F161" s="4" t="s">
        <v>15</v>
      </c>
      <c r="G161" s="4" t="s">
        <v>23</v>
      </c>
      <c r="H161" s="4" t="s">
        <v>25</v>
      </c>
      <c r="I161" s="4">
        <v>10</v>
      </c>
      <c r="J161" s="4">
        <v>137250</v>
      </c>
      <c r="K161" s="4">
        <v>12.32</v>
      </c>
      <c r="L161" s="4">
        <v>42170.57</v>
      </c>
      <c r="M161" s="4" t="s">
        <v>20</v>
      </c>
      <c r="N161" s="4" t="s">
        <v>21</v>
      </c>
    </row>
    <row r="162" spans="2:14" x14ac:dyDescent="0.25">
      <c r="B162">
        <v>99</v>
      </c>
      <c r="C162" t="s">
        <v>32</v>
      </c>
      <c r="E162" s="3">
        <v>45469</v>
      </c>
      <c r="F162" s="4" t="s">
        <v>22</v>
      </c>
      <c r="G162" s="4" t="s">
        <v>18</v>
      </c>
      <c r="H162" s="4" t="s">
        <v>12</v>
      </c>
      <c r="I162" s="4">
        <v>8</v>
      </c>
      <c r="J162" s="4">
        <v>83376</v>
      </c>
      <c r="K162" s="4">
        <v>12.42</v>
      </c>
      <c r="L162" s="4">
        <v>27993.43</v>
      </c>
      <c r="M162" s="4" t="s">
        <v>13</v>
      </c>
      <c r="N162" s="4" t="s">
        <v>21</v>
      </c>
    </row>
    <row r="163" spans="2:14" hidden="1" x14ac:dyDescent="0.25">
      <c r="E163" s="3">
        <v>45440</v>
      </c>
      <c r="F163" s="4" t="s">
        <v>15</v>
      </c>
      <c r="G163" s="4" t="s">
        <v>23</v>
      </c>
      <c r="H163" s="4" t="s">
        <v>19</v>
      </c>
      <c r="I163" s="4">
        <v>1</v>
      </c>
      <c r="J163" s="4">
        <v>54066</v>
      </c>
      <c r="K163" s="4">
        <v>11.42</v>
      </c>
      <c r="L163" s="4">
        <v>14482.56</v>
      </c>
      <c r="M163" s="4" t="s">
        <v>13</v>
      </c>
      <c r="N163" s="4" t="s">
        <v>14</v>
      </c>
    </row>
    <row r="164" spans="2:14" x14ac:dyDescent="0.25">
      <c r="B164">
        <v>99</v>
      </c>
      <c r="C164" t="s">
        <v>31</v>
      </c>
      <c r="E164" s="3">
        <v>45414</v>
      </c>
      <c r="F164" s="4" t="s">
        <v>15</v>
      </c>
      <c r="G164" s="4" t="s">
        <v>16</v>
      </c>
      <c r="H164" s="4" t="s">
        <v>25</v>
      </c>
      <c r="I164" s="4">
        <v>2</v>
      </c>
      <c r="J164" s="4">
        <v>33240</v>
      </c>
      <c r="K164" s="4">
        <v>12.43</v>
      </c>
      <c r="L164" s="4">
        <v>11327.32</v>
      </c>
      <c r="M164" s="4" t="s">
        <v>17</v>
      </c>
      <c r="N164" s="4" t="s">
        <v>21</v>
      </c>
    </row>
    <row r="165" spans="2:14" x14ac:dyDescent="0.25">
      <c r="B165">
        <v>99</v>
      </c>
      <c r="C165" t="s">
        <v>33</v>
      </c>
      <c r="E165" s="3">
        <v>45360</v>
      </c>
      <c r="F165" s="4" t="s">
        <v>22</v>
      </c>
      <c r="G165" s="4" t="s">
        <v>11</v>
      </c>
      <c r="H165" s="4" t="s">
        <v>19</v>
      </c>
      <c r="I165" s="4">
        <v>6</v>
      </c>
      <c r="J165" s="4">
        <v>282858</v>
      </c>
      <c r="K165" s="4">
        <v>12.47</v>
      </c>
      <c r="L165" s="4">
        <v>85704.6</v>
      </c>
      <c r="M165" s="4" t="s">
        <v>13</v>
      </c>
      <c r="N165" s="4" t="s">
        <v>21</v>
      </c>
    </row>
    <row r="166" spans="2:14" hidden="1" x14ac:dyDescent="0.25">
      <c r="E166" s="3">
        <v>45443</v>
      </c>
      <c r="F166" s="4" t="s">
        <v>22</v>
      </c>
      <c r="G166" s="4" t="s">
        <v>16</v>
      </c>
      <c r="H166" s="4" t="s">
        <v>19</v>
      </c>
      <c r="I166" s="4">
        <v>5</v>
      </c>
      <c r="J166" s="4">
        <v>264135</v>
      </c>
      <c r="K166" s="4">
        <v>12.87</v>
      </c>
      <c r="L166" s="4">
        <v>66414.78</v>
      </c>
      <c r="M166" s="4" t="s">
        <v>20</v>
      </c>
      <c r="N166" s="4" t="s">
        <v>14</v>
      </c>
    </row>
    <row r="167" spans="2:14" hidden="1" x14ac:dyDescent="0.25">
      <c r="E167" s="3">
        <v>45444</v>
      </c>
      <c r="F167" s="4" t="s">
        <v>10</v>
      </c>
      <c r="G167" s="4" t="s">
        <v>11</v>
      </c>
      <c r="H167" s="4" t="s">
        <v>25</v>
      </c>
      <c r="I167" s="4">
        <v>8</v>
      </c>
      <c r="J167" s="4">
        <v>100848</v>
      </c>
      <c r="K167" s="4">
        <v>7.44</v>
      </c>
      <c r="L167" s="4">
        <v>19368.82</v>
      </c>
      <c r="M167" s="4" t="s">
        <v>13</v>
      </c>
      <c r="N167" s="4" t="s">
        <v>14</v>
      </c>
    </row>
    <row r="168" spans="2:14" x14ac:dyDescent="0.25">
      <c r="B168">
        <v>99</v>
      </c>
      <c r="C168" t="s">
        <v>32</v>
      </c>
      <c r="E168" s="3">
        <v>45384</v>
      </c>
      <c r="F168" s="4" t="s">
        <v>22</v>
      </c>
      <c r="G168" s="4" t="s">
        <v>18</v>
      </c>
      <c r="H168" s="4" t="s">
        <v>25</v>
      </c>
      <c r="I168" s="4">
        <v>8</v>
      </c>
      <c r="J168" s="4">
        <v>140272</v>
      </c>
      <c r="K168" s="4">
        <v>12.91</v>
      </c>
      <c r="L168" s="4">
        <v>39746.69</v>
      </c>
      <c r="M168" s="4" t="s">
        <v>17</v>
      </c>
      <c r="N168" s="4" t="s">
        <v>21</v>
      </c>
    </row>
    <row r="169" spans="2:14" hidden="1" x14ac:dyDescent="0.25">
      <c r="E169" s="3">
        <v>45446</v>
      </c>
      <c r="F169" s="4" t="s">
        <v>10</v>
      </c>
      <c r="G169" s="4" t="s">
        <v>16</v>
      </c>
      <c r="H169" s="4" t="s">
        <v>19</v>
      </c>
      <c r="I169" s="4">
        <v>9</v>
      </c>
      <c r="J169" s="4">
        <v>466362</v>
      </c>
      <c r="K169" s="4">
        <v>10.65</v>
      </c>
      <c r="L169" s="4">
        <v>139057.92000000001</v>
      </c>
      <c r="M169" s="4" t="s">
        <v>20</v>
      </c>
      <c r="N169" s="4" t="s">
        <v>14</v>
      </c>
    </row>
    <row r="170" spans="2:14" hidden="1" x14ac:dyDescent="0.25">
      <c r="E170" s="3">
        <v>45447</v>
      </c>
      <c r="F170" s="4" t="s">
        <v>15</v>
      </c>
      <c r="G170" s="4" t="s">
        <v>18</v>
      </c>
      <c r="H170" s="4" t="s">
        <v>25</v>
      </c>
      <c r="I170" s="4">
        <v>8</v>
      </c>
      <c r="J170" s="4">
        <v>115480</v>
      </c>
      <c r="K170" s="4">
        <v>5.69</v>
      </c>
      <c r="L170" s="4">
        <v>31402.27</v>
      </c>
      <c r="M170" s="4" t="s">
        <v>13</v>
      </c>
      <c r="N170" s="4" t="s">
        <v>14</v>
      </c>
    </row>
    <row r="171" spans="2:14" hidden="1" x14ac:dyDescent="0.25">
      <c r="E171" s="3">
        <v>45448</v>
      </c>
      <c r="F171" s="4" t="s">
        <v>24</v>
      </c>
      <c r="G171" s="4" t="s">
        <v>23</v>
      </c>
      <c r="H171" s="4" t="s">
        <v>12</v>
      </c>
      <c r="I171" s="4">
        <v>10</v>
      </c>
      <c r="J171" s="4">
        <v>104930</v>
      </c>
      <c r="K171" s="4">
        <v>12.65</v>
      </c>
      <c r="L171" s="4">
        <v>33476.839999999997</v>
      </c>
      <c r="M171" s="4" t="s">
        <v>13</v>
      </c>
      <c r="N171" s="4" t="s">
        <v>14</v>
      </c>
    </row>
    <row r="172" spans="2:14" hidden="1" x14ac:dyDescent="0.25">
      <c r="E172" s="3">
        <v>45449</v>
      </c>
      <c r="F172" s="4" t="s">
        <v>10</v>
      </c>
      <c r="G172" s="4" t="s">
        <v>16</v>
      </c>
      <c r="H172" s="4" t="s">
        <v>12</v>
      </c>
      <c r="I172" s="4">
        <v>4</v>
      </c>
      <c r="J172" s="4">
        <v>48668</v>
      </c>
      <c r="K172" s="4">
        <v>7.07</v>
      </c>
      <c r="L172" s="4">
        <v>10661.54</v>
      </c>
      <c r="M172" s="4" t="s">
        <v>20</v>
      </c>
      <c r="N172" s="4" t="s">
        <v>14</v>
      </c>
    </row>
    <row r="173" spans="2:14" hidden="1" x14ac:dyDescent="0.25">
      <c r="E173" s="3">
        <v>45450</v>
      </c>
      <c r="F173" s="4" t="s">
        <v>10</v>
      </c>
      <c r="G173" s="4" t="s">
        <v>16</v>
      </c>
      <c r="H173" s="4" t="s">
        <v>19</v>
      </c>
      <c r="I173" s="4">
        <v>3</v>
      </c>
      <c r="J173" s="4">
        <v>162129</v>
      </c>
      <c r="K173" s="4">
        <v>7.16</v>
      </c>
      <c r="L173" s="4">
        <v>32073.69</v>
      </c>
      <c r="M173" s="4" t="s">
        <v>13</v>
      </c>
      <c r="N173" s="4" t="s">
        <v>14</v>
      </c>
    </row>
    <row r="174" spans="2:14" x14ac:dyDescent="0.25">
      <c r="B174">
        <v>99</v>
      </c>
      <c r="C174" t="s">
        <v>31</v>
      </c>
      <c r="E174" s="3">
        <v>45371</v>
      </c>
      <c r="F174" s="4" t="s">
        <v>15</v>
      </c>
      <c r="G174" s="4" t="s">
        <v>16</v>
      </c>
      <c r="H174" s="4" t="s">
        <v>19</v>
      </c>
      <c r="I174" s="4">
        <v>4</v>
      </c>
      <c r="J174" s="4">
        <v>206112</v>
      </c>
      <c r="K174" s="4">
        <v>13.06</v>
      </c>
      <c r="L174" s="4">
        <v>60440.15</v>
      </c>
      <c r="M174" s="4" t="s">
        <v>20</v>
      </c>
      <c r="N174" s="4" t="s">
        <v>21</v>
      </c>
    </row>
    <row r="175" spans="2:14" hidden="1" x14ac:dyDescent="0.25">
      <c r="E175" s="3">
        <v>45452</v>
      </c>
      <c r="F175" s="4" t="s">
        <v>24</v>
      </c>
      <c r="G175" s="4" t="s">
        <v>23</v>
      </c>
      <c r="H175" s="4" t="s">
        <v>19</v>
      </c>
      <c r="I175" s="4">
        <v>4</v>
      </c>
      <c r="J175" s="4">
        <v>198880</v>
      </c>
      <c r="K175" s="4">
        <v>8.2899999999999991</v>
      </c>
      <c r="L175" s="4">
        <v>57232.03</v>
      </c>
      <c r="M175" s="4" t="s">
        <v>13</v>
      </c>
      <c r="N175" s="4" t="s">
        <v>14</v>
      </c>
    </row>
    <row r="176" spans="2:14" x14ac:dyDescent="0.25">
      <c r="B176">
        <v>99</v>
      </c>
      <c r="C176" t="s">
        <v>33</v>
      </c>
      <c r="E176" s="3">
        <v>45369</v>
      </c>
      <c r="F176" s="4" t="s">
        <v>15</v>
      </c>
      <c r="G176" s="4" t="s">
        <v>11</v>
      </c>
      <c r="H176" s="4" t="s">
        <v>25</v>
      </c>
      <c r="I176" s="4">
        <v>1</v>
      </c>
      <c r="J176" s="4">
        <v>15855</v>
      </c>
      <c r="K176" s="4">
        <v>13.25</v>
      </c>
      <c r="L176" s="4">
        <v>3999.59</v>
      </c>
      <c r="M176" s="4" t="s">
        <v>13</v>
      </c>
      <c r="N176" s="4" t="s">
        <v>21</v>
      </c>
    </row>
    <row r="177" spans="2:14" x14ac:dyDescent="0.25">
      <c r="B177">
        <v>99</v>
      </c>
      <c r="C177" t="s">
        <v>34</v>
      </c>
      <c r="E177" s="3">
        <v>45367</v>
      </c>
      <c r="F177" s="4" t="s">
        <v>15</v>
      </c>
      <c r="G177" s="4" t="s">
        <v>16</v>
      </c>
      <c r="H177" s="4" t="s">
        <v>25</v>
      </c>
      <c r="I177" s="4">
        <v>1</v>
      </c>
      <c r="J177" s="4">
        <v>13469</v>
      </c>
      <c r="K177" s="4">
        <v>13.3</v>
      </c>
      <c r="L177" s="4">
        <v>3602.23</v>
      </c>
      <c r="M177" s="4" t="s">
        <v>20</v>
      </c>
      <c r="N177" s="4" t="s">
        <v>21</v>
      </c>
    </row>
    <row r="178" spans="2:14" x14ac:dyDescent="0.25">
      <c r="B178">
        <v>99</v>
      </c>
      <c r="C178" t="s">
        <v>34</v>
      </c>
      <c r="E178" s="3">
        <v>45428</v>
      </c>
      <c r="F178" s="4" t="s">
        <v>24</v>
      </c>
      <c r="G178" s="4" t="s">
        <v>16</v>
      </c>
      <c r="H178" s="4" t="s">
        <v>25</v>
      </c>
      <c r="I178" s="4">
        <v>5</v>
      </c>
      <c r="J178" s="4">
        <v>73940</v>
      </c>
      <c r="K178" s="4">
        <v>13.55</v>
      </c>
      <c r="L178" s="4">
        <v>25156.69</v>
      </c>
      <c r="M178" s="4" t="s">
        <v>20</v>
      </c>
      <c r="N178" s="4" t="s">
        <v>21</v>
      </c>
    </row>
    <row r="179" spans="2:14" hidden="1" x14ac:dyDescent="0.25">
      <c r="E179" s="3">
        <v>45456</v>
      </c>
      <c r="F179" s="4" t="s">
        <v>15</v>
      </c>
      <c r="G179" s="4" t="s">
        <v>23</v>
      </c>
      <c r="H179" s="4" t="s">
        <v>12</v>
      </c>
      <c r="I179" s="4">
        <v>10</v>
      </c>
      <c r="J179" s="4">
        <v>123640</v>
      </c>
      <c r="K179" s="4">
        <v>13.58</v>
      </c>
      <c r="L179" s="4">
        <v>31328.18</v>
      </c>
      <c r="M179" s="4" t="s">
        <v>13</v>
      </c>
      <c r="N179" s="4" t="s">
        <v>14</v>
      </c>
    </row>
    <row r="180" spans="2:14" hidden="1" x14ac:dyDescent="0.25">
      <c r="E180" s="3">
        <v>45457</v>
      </c>
      <c r="F180" s="4" t="s">
        <v>24</v>
      </c>
      <c r="G180" s="4" t="s">
        <v>11</v>
      </c>
      <c r="H180" s="4" t="s">
        <v>25</v>
      </c>
      <c r="I180" s="4">
        <v>5</v>
      </c>
      <c r="J180" s="4">
        <v>88660</v>
      </c>
      <c r="K180" s="4">
        <v>6.45</v>
      </c>
      <c r="L180" s="4">
        <v>20866.740000000002</v>
      </c>
      <c r="M180" s="4" t="s">
        <v>20</v>
      </c>
      <c r="N180" s="4" t="s">
        <v>14</v>
      </c>
    </row>
    <row r="181" spans="2:14" hidden="1" x14ac:dyDescent="0.25">
      <c r="E181" s="3">
        <v>45458</v>
      </c>
      <c r="F181" s="4" t="s">
        <v>24</v>
      </c>
      <c r="G181" s="4" t="s">
        <v>23</v>
      </c>
      <c r="H181" s="4" t="s">
        <v>12</v>
      </c>
      <c r="I181" s="4">
        <v>9</v>
      </c>
      <c r="J181" s="4">
        <v>126405</v>
      </c>
      <c r="K181" s="4">
        <v>6.3</v>
      </c>
      <c r="L181" s="4">
        <v>21155.07</v>
      </c>
      <c r="M181" s="4" t="s">
        <v>13</v>
      </c>
      <c r="N181" s="4" t="s">
        <v>14</v>
      </c>
    </row>
    <row r="182" spans="2:14" x14ac:dyDescent="0.25">
      <c r="B182">
        <v>99</v>
      </c>
      <c r="C182" t="s">
        <v>34</v>
      </c>
      <c r="E182" s="3">
        <v>45378</v>
      </c>
      <c r="F182" s="4" t="s">
        <v>15</v>
      </c>
      <c r="G182" s="4" t="s">
        <v>23</v>
      </c>
      <c r="H182" s="4" t="s">
        <v>25</v>
      </c>
      <c r="I182" s="4">
        <v>2</v>
      </c>
      <c r="J182" s="4">
        <v>34882</v>
      </c>
      <c r="K182" s="4">
        <v>13.6</v>
      </c>
      <c r="L182" s="4">
        <v>12041.01</v>
      </c>
      <c r="M182" s="4" t="s">
        <v>17</v>
      </c>
      <c r="N182" s="4" t="s">
        <v>21</v>
      </c>
    </row>
    <row r="183" spans="2:14" x14ac:dyDescent="0.25">
      <c r="B183">
        <v>99</v>
      </c>
      <c r="E183" s="3">
        <v>45451</v>
      </c>
      <c r="F183" s="4" t="s">
        <v>10</v>
      </c>
      <c r="G183" s="4" t="s">
        <v>16</v>
      </c>
      <c r="H183" s="4" t="s">
        <v>19</v>
      </c>
      <c r="I183" s="4">
        <v>7</v>
      </c>
      <c r="J183" s="4">
        <v>366667</v>
      </c>
      <c r="K183" s="4">
        <v>13.7</v>
      </c>
      <c r="L183" s="4">
        <v>98218.55</v>
      </c>
      <c r="M183" s="4" t="s">
        <v>20</v>
      </c>
      <c r="N183" s="4" t="s">
        <v>21</v>
      </c>
    </row>
    <row r="184" spans="2:14" x14ac:dyDescent="0.25">
      <c r="B184">
        <v>99</v>
      </c>
      <c r="E184" s="3">
        <v>45303</v>
      </c>
      <c r="F184" s="4" t="s">
        <v>15</v>
      </c>
      <c r="G184" s="4" t="s">
        <v>23</v>
      </c>
      <c r="H184" s="4" t="s">
        <v>19</v>
      </c>
      <c r="I184" s="4">
        <v>4</v>
      </c>
      <c r="J184" s="4">
        <v>186616</v>
      </c>
      <c r="K184" s="4">
        <v>13.71</v>
      </c>
      <c r="L184" s="4">
        <v>48889</v>
      </c>
      <c r="M184" s="4" t="s">
        <v>17</v>
      </c>
      <c r="N184" s="4" t="s">
        <v>21</v>
      </c>
    </row>
    <row r="185" spans="2:14" x14ac:dyDescent="0.25">
      <c r="B185">
        <v>99</v>
      </c>
      <c r="E185" s="3">
        <v>45410</v>
      </c>
      <c r="F185" s="4" t="s">
        <v>24</v>
      </c>
      <c r="G185" s="4" t="s">
        <v>23</v>
      </c>
      <c r="H185" s="4" t="s">
        <v>25</v>
      </c>
      <c r="I185" s="4">
        <v>7</v>
      </c>
      <c r="J185" s="4">
        <v>99953</v>
      </c>
      <c r="K185" s="4">
        <v>13.87</v>
      </c>
      <c r="L185" s="4">
        <v>24977.31</v>
      </c>
      <c r="M185" s="4" t="s">
        <v>13</v>
      </c>
      <c r="N185" s="4" t="s">
        <v>21</v>
      </c>
    </row>
    <row r="186" spans="2:14" x14ac:dyDescent="0.25">
      <c r="E186" s="3">
        <v>45454</v>
      </c>
      <c r="F186" s="4" t="s">
        <v>15</v>
      </c>
      <c r="G186" s="4" t="s">
        <v>18</v>
      </c>
      <c r="H186" s="4" t="s">
        <v>19</v>
      </c>
      <c r="I186" s="4">
        <v>9</v>
      </c>
      <c r="J186" s="4">
        <v>438147</v>
      </c>
      <c r="K186" s="4">
        <v>14.01</v>
      </c>
      <c r="L186" s="4">
        <v>127633.39</v>
      </c>
      <c r="M186" s="4" t="s">
        <v>13</v>
      </c>
      <c r="N186" s="4" t="s">
        <v>21</v>
      </c>
    </row>
    <row r="187" spans="2:14" hidden="1" x14ac:dyDescent="0.25">
      <c r="E187" s="3">
        <v>45464</v>
      </c>
      <c r="F187" s="4" t="s">
        <v>24</v>
      </c>
      <c r="G187" s="4" t="s">
        <v>23</v>
      </c>
      <c r="H187" s="4" t="s">
        <v>25</v>
      </c>
      <c r="I187" s="4">
        <v>2</v>
      </c>
      <c r="J187" s="4">
        <v>26634</v>
      </c>
      <c r="K187" s="4">
        <v>12.9</v>
      </c>
      <c r="L187" s="4">
        <v>8710.02</v>
      </c>
      <c r="M187" s="4" t="s">
        <v>17</v>
      </c>
      <c r="N187" s="4" t="s">
        <v>14</v>
      </c>
    </row>
    <row r="188" spans="2:14" hidden="1" x14ac:dyDescent="0.25">
      <c r="E188" s="3">
        <v>45465</v>
      </c>
      <c r="F188" s="4" t="s">
        <v>22</v>
      </c>
      <c r="G188" s="4" t="s">
        <v>18</v>
      </c>
      <c r="H188" s="4" t="s">
        <v>12</v>
      </c>
      <c r="I188" s="4">
        <v>8</v>
      </c>
      <c r="J188" s="4">
        <v>98888</v>
      </c>
      <c r="K188" s="4">
        <v>7.38</v>
      </c>
      <c r="L188" s="4">
        <v>29256.79</v>
      </c>
      <c r="M188" s="4" t="s">
        <v>13</v>
      </c>
      <c r="N188" s="4" t="s">
        <v>14</v>
      </c>
    </row>
    <row r="189" spans="2:14" x14ac:dyDescent="0.25">
      <c r="E189" s="3">
        <v>45352</v>
      </c>
      <c r="F189" s="4" t="s">
        <v>10</v>
      </c>
      <c r="G189" s="4" t="s">
        <v>11</v>
      </c>
      <c r="H189" s="4" t="s">
        <v>12</v>
      </c>
      <c r="I189" s="4">
        <v>4</v>
      </c>
      <c r="J189" s="4">
        <v>56576</v>
      </c>
      <c r="K189" s="4">
        <v>14.03</v>
      </c>
      <c r="L189" s="4">
        <v>15622.65</v>
      </c>
      <c r="M189" s="4" t="s">
        <v>17</v>
      </c>
      <c r="N189" s="4" t="s">
        <v>21</v>
      </c>
    </row>
    <row r="190" spans="2:14" hidden="1" x14ac:dyDescent="0.25">
      <c r="E190" s="3">
        <v>45467</v>
      </c>
      <c r="F190" s="4" t="s">
        <v>22</v>
      </c>
      <c r="G190" s="4" t="s">
        <v>23</v>
      </c>
      <c r="H190" s="4" t="s">
        <v>19</v>
      </c>
      <c r="I190" s="4">
        <v>7</v>
      </c>
      <c r="J190" s="4">
        <v>374017</v>
      </c>
      <c r="K190" s="4">
        <v>6.74</v>
      </c>
      <c r="L190" s="4">
        <v>96574.19</v>
      </c>
      <c r="M190" s="4" t="s">
        <v>20</v>
      </c>
      <c r="N190" s="4" t="s">
        <v>14</v>
      </c>
    </row>
    <row r="191" spans="2:14" x14ac:dyDescent="0.25">
      <c r="E191" s="3">
        <v>45402</v>
      </c>
      <c r="F191" s="4" t="s">
        <v>24</v>
      </c>
      <c r="G191" s="4" t="s">
        <v>18</v>
      </c>
      <c r="H191" s="4" t="s">
        <v>19</v>
      </c>
      <c r="I191" s="4">
        <v>6</v>
      </c>
      <c r="J191" s="4">
        <v>299352</v>
      </c>
      <c r="K191" s="4">
        <v>14.09</v>
      </c>
      <c r="L191" s="4">
        <v>93823.65</v>
      </c>
      <c r="M191" s="4" t="s">
        <v>13</v>
      </c>
      <c r="N191" s="4" t="s">
        <v>21</v>
      </c>
    </row>
    <row r="192" spans="2:14" x14ac:dyDescent="0.25">
      <c r="C192" s="5" t="s">
        <v>35</v>
      </c>
      <c r="E192" s="3">
        <v>45306</v>
      </c>
      <c r="F192" s="4" t="s">
        <v>15</v>
      </c>
      <c r="G192" s="4" t="s">
        <v>16</v>
      </c>
      <c r="H192" s="4" t="s">
        <v>19</v>
      </c>
      <c r="I192" s="4">
        <v>8</v>
      </c>
      <c r="J192" s="4">
        <v>409728</v>
      </c>
      <c r="K192" s="4">
        <v>14.13</v>
      </c>
      <c r="L192" s="4">
        <v>105264.84</v>
      </c>
      <c r="M192" s="4" t="s">
        <v>20</v>
      </c>
      <c r="N192" s="4" t="s">
        <v>21</v>
      </c>
    </row>
    <row r="193" spans="5:14" x14ac:dyDescent="0.25">
      <c r="E193" s="3">
        <v>45366</v>
      </c>
      <c r="F193" s="4" t="s">
        <v>22</v>
      </c>
      <c r="G193" s="4" t="s">
        <v>18</v>
      </c>
      <c r="H193" s="4" t="s">
        <v>12</v>
      </c>
      <c r="I193" s="4">
        <v>3</v>
      </c>
      <c r="J193" s="4">
        <v>35817</v>
      </c>
      <c r="K193" s="4">
        <v>14.13</v>
      </c>
      <c r="L193" s="4">
        <v>12096.78</v>
      </c>
      <c r="M193" s="4" t="s">
        <v>20</v>
      </c>
      <c r="N193" s="4" t="s">
        <v>21</v>
      </c>
    </row>
    <row r="194" spans="5:14" hidden="1" x14ac:dyDescent="0.25">
      <c r="E194" s="3">
        <v>45471</v>
      </c>
      <c r="F194" s="4" t="s">
        <v>24</v>
      </c>
      <c r="G194" s="4" t="s">
        <v>18</v>
      </c>
      <c r="H194" s="4" t="s">
        <v>19</v>
      </c>
      <c r="I194" s="4">
        <v>1</v>
      </c>
      <c r="J194" s="4">
        <v>54975</v>
      </c>
      <c r="K194" s="4">
        <v>12.46</v>
      </c>
      <c r="L194" s="4">
        <v>16638.939999999999</v>
      </c>
      <c r="M194" s="4" t="s">
        <v>17</v>
      </c>
      <c r="N194" s="4" t="s">
        <v>14</v>
      </c>
    </row>
    <row r="195" spans="5:14" hidden="1" x14ac:dyDescent="0.25">
      <c r="E195" s="3">
        <v>45472</v>
      </c>
      <c r="F195" s="4" t="s">
        <v>15</v>
      </c>
      <c r="G195" s="4" t="s">
        <v>16</v>
      </c>
      <c r="H195" s="4" t="s">
        <v>25</v>
      </c>
      <c r="I195" s="4">
        <v>9</v>
      </c>
      <c r="J195" s="4">
        <v>109008</v>
      </c>
      <c r="K195" s="4">
        <v>9.76</v>
      </c>
      <c r="L195" s="4">
        <v>28565.439999999999</v>
      </c>
      <c r="M195" s="4" t="s">
        <v>20</v>
      </c>
      <c r="N195" s="4" t="s">
        <v>14</v>
      </c>
    </row>
    <row r="196" spans="5:14" hidden="1" x14ac:dyDescent="0.25">
      <c r="E196" s="3">
        <v>45473</v>
      </c>
      <c r="F196" s="4" t="s">
        <v>24</v>
      </c>
      <c r="G196" s="4" t="s">
        <v>11</v>
      </c>
      <c r="H196" s="4" t="s">
        <v>19</v>
      </c>
      <c r="I196" s="4">
        <v>2</v>
      </c>
      <c r="J196" s="4">
        <v>105120</v>
      </c>
      <c r="K196" s="4">
        <v>12.78</v>
      </c>
      <c r="L196" s="4">
        <v>35573.49</v>
      </c>
      <c r="M196" s="4" t="s">
        <v>17</v>
      </c>
      <c r="N196" s="4" t="s">
        <v>14</v>
      </c>
    </row>
    <row r="197" spans="5:14" x14ac:dyDescent="0.25">
      <c r="E197" s="3">
        <v>45392</v>
      </c>
      <c r="F197" s="4" t="s">
        <v>10</v>
      </c>
      <c r="G197" s="4" t="s">
        <v>16</v>
      </c>
      <c r="H197" s="4" t="s">
        <v>19</v>
      </c>
      <c r="I197" s="4">
        <v>8</v>
      </c>
      <c r="J197" s="4">
        <v>377472</v>
      </c>
      <c r="K197" s="4">
        <v>14.4</v>
      </c>
      <c r="L197" s="4">
        <v>111558.22</v>
      </c>
      <c r="M197" s="4" t="s">
        <v>17</v>
      </c>
      <c r="N197" s="4" t="s">
        <v>21</v>
      </c>
    </row>
    <row r="198" spans="5:14" hidden="1" x14ac:dyDescent="0.25">
      <c r="E198" s="3">
        <v>45475</v>
      </c>
      <c r="F198" s="4" t="s">
        <v>22</v>
      </c>
      <c r="G198" s="4" t="s">
        <v>18</v>
      </c>
      <c r="H198" s="4" t="s">
        <v>25</v>
      </c>
      <c r="I198" s="4">
        <v>8</v>
      </c>
      <c r="J198" s="4">
        <v>111968</v>
      </c>
      <c r="K198" s="4">
        <v>6.09</v>
      </c>
      <c r="L198" s="4">
        <v>31896.37</v>
      </c>
      <c r="M198" s="4" t="s">
        <v>13</v>
      </c>
      <c r="N198" s="4" t="s">
        <v>14</v>
      </c>
    </row>
    <row r="199" spans="5:14" hidden="1" x14ac:dyDescent="0.25">
      <c r="E199" s="3">
        <v>45476</v>
      </c>
      <c r="F199" s="4" t="s">
        <v>24</v>
      </c>
      <c r="G199" s="4" t="s">
        <v>16</v>
      </c>
      <c r="H199" s="4" t="s">
        <v>25</v>
      </c>
      <c r="I199" s="4">
        <v>4</v>
      </c>
      <c r="J199" s="4">
        <v>67640</v>
      </c>
      <c r="K199" s="4">
        <v>10.039999999999999</v>
      </c>
      <c r="L199" s="4">
        <v>14114.03</v>
      </c>
      <c r="M199" s="4" t="s">
        <v>17</v>
      </c>
      <c r="N199" s="4" t="s">
        <v>14</v>
      </c>
    </row>
    <row r="200" spans="5:14" hidden="1" x14ac:dyDescent="0.25">
      <c r="E200" s="3">
        <v>45477</v>
      </c>
      <c r="F200" s="4" t="s">
        <v>15</v>
      </c>
      <c r="G200" s="4" t="s">
        <v>11</v>
      </c>
      <c r="H200" s="4" t="s">
        <v>25</v>
      </c>
      <c r="I200" s="4">
        <v>7</v>
      </c>
      <c r="J200" s="4">
        <v>103488</v>
      </c>
      <c r="K200" s="4">
        <v>14.45</v>
      </c>
      <c r="L200" s="4">
        <v>25732.91</v>
      </c>
      <c r="M200" s="4" t="s">
        <v>20</v>
      </c>
      <c r="N200" s="4" t="s">
        <v>14</v>
      </c>
    </row>
    <row r="201" spans="5:14" x14ac:dyDescent="0.25">
      <c r="E201" s="3">
        <v>45415</v>
      </c>
      <c r="F201" s="4" t="s">
        <v>15</v>
      </c>
      <c r="G201" s="4" t="s">
        <v>18</v>
      </c>
      <c r="H201" s="4" t="s">
        <v>12</v>
      </c>
      <c r="I201" s="4">
        <v>5</v>
      </c>
      <c r="J201" s="4">
        <v>65105</v>
      </c>
      <c r="K201" s="4">
        <v>14.46</v>
      </c>
      <c r="L201" s="4">
        <v>15641.69</v>
      </c>
      <c r="M201" s="4" t="s">
        <v>17</v>
      </c>
      <c r="N201" s="4" t="s">
        <v>21</v>
      </c>
    </row>
    <row r="202" spans="5:14" hidden="1" x14ac:dyDescent="0.25">
      <c r="E202" s="3">
        <v>45479</v>
      </c>
      <c r="F202" s="4" t="s">
        <v>24</v>
      </c>
      <c r="G202" s="4" t="s">
        <v>16</v>
      </c>
      <c r="H202" s="4" t="s">
        <v>25</v>
      </c>
      <c r="I202" s="4">
        <v>9</v>
      </c>
      <c r="J202" s="4">
        <v>143703</v>
      </c>
      <c r="K202" s="4">
        <v>12.83</v>
      </c>
      <c r="L202" s="4">
        <v>40228.519999999997</v>
      </c>
      <c r="M202" s="4" t="s">
        <v>20</v>
      </c>
      <c r="N202" s="4" t="s">
        <v>14</v>
      </c>
    </row>
    <row r="203" spans="5:14" hidden="1" x14ac:dyDescent="0.25">
      <c r="E203" s="3">
        <v>45480</v>
      </c>
      <c r="F203" s="4" t="s">
        <v>22</v>
      </c>
      <c r="G203" s="4" t="s">
        <v>23</v>
      </c>
      <c r="H203" s="4" t="s">
        <v>12</v>
      </c>
      <c r="I203" s="4">
        <v>9</v>
      </c>
      <c r="J203" s="4">
        <v>117810</v>
      </c>
      <c r="K203" s="4">
        <v>13.67</v>
      </c>
      <c r="L203" s="4">
        <v>34471.75</v>
      </c>
      <c r="M203" s="4" t="s">
        <v>13</v>
      </c>
      <c r="N203" s="4" t="s">
        <v>14</v>
      </c>
    </row>
    <row r="204" spans="5:14" x14ac:dyDescent="0.25">
      <c r="E204" s="3">
        <v>45483</v>
      </c>
      <c r="F204" s="4" t="s">
        <v>24</v>
      </c>
      <c r="G204" s="4" t="s">
        <v>18</v>
      </c>
      <c r="H204" s="4" t="s">
        <v>25</v>
      </c>
      <c r="I204" s="4">
        <v>3</v>
      </c>
      <c r="J204" s="4">
        <v>48171</v>
      </c>
      <c r="K204" s="4">
        <v>14.64</v>
      </c>
      <c r="L204" s="4">
        <v>11806.44</v>
      </c>
      <c r="M204" s="4" t="s">
        <v>17</v>
      </c>
      <c r="N204" s="4" t="s">
        <v>21</v>
      </c>
    </row>
    <row r="205" spans="5:14" hidden="1" x14ac:dyDescent="0.25">
      <c r="E205" s="3">
        <v>45482</v>
      </c>
      <c r="F205" s="4" t="s">
        <v>24</v>
      </c>
      <c r="G205" s="4" t="s">
        <v>16</v>
      </c>
      <c r="H205" s="4" t="s">
        <v>25</v>
      </c>
      <c r="I205" s="4">
        <v>1</v>
      </c>
      <c r="J205" s="4">
        <v>14606</v>
      </c>
      <c r="K205" s="4">
        <v>9.58</v>
      </c>
      <c r="L205" s="4">
        <v>3132.39</v>
      </c>
      <c r="M205" s="4" t="s">
        <v>20</v>
      </c>
      <c r="N205" s="4" t="s">
        <v>14</v>
      </c>
    </row>
    <row r="206" spans="5:14" x14ac:dyDescent="0.25">
      <c r="E206" s="3">
        <v>45377</v>
      </c>
      <c r="F206" s="4" t="s">
        <v>10</v>
      </c>
      <c r="G206" s="4" t="s">
        <v>18</v>
      </c>
      <c r="H206" s="4" t="s">
        <v>19</v>
      </c>
      <c r="I206" s="4">
        <v>9</v>
      </c>
      <c r="J206" s="4">
        <v>484389</v>
      </c>
      <c r="K206" s="4">
        <v>14.67</v>
      </c>
      <c r="L206" s="4">
        <v>169106.4</v>
      </c>
      <c r="M206" s="4" t="s">
        <v>17</v>
      </c>
      <c r="N206" s="4" t="s">
        <v>21</v>
      </c>
    </row>
    <row r="207" spans="5:14" x14ac:dyDescent="0.25">
      <c r="E207" s="3">
        <v>45381</v>
      </c>
      <c r="F207" s="4" t="s">
        <v>22</v>
      </c>
      <c r="G207" s="4" t="s">
        <v>16</v>
      </c>
      <c r="H207" s="4" t="s">
        <v>19</v>
      </c>
      <c r="I207" s="4">
        <v>7</v>
      </c>
      <c r="J207" s="4">
        <v>358477</v>
      </c>
      <c r="K207" s="4">
        <v>14.67</v>
      </c>
      <c r="L207" s="4">
        <v>98145.03</v>
      </c>
      <c r="M207" s="4" t="s">
        <v>20</v>
      </c>
      <c r="N207" s="4" t="s">
        <v>21</v>
      </c>
    </row>
    <row r="208" spans="5:14" hidden="1" x14ac:dyDescent="0.25">
      <c r="E208" s="3">
        <v>45485</v>
      </c>
      <c r="F208" s="4" t="s">
        <v>10</v>
      </c>
      <c r="G208" s="4" t="s">
        <v>18</v>
      </c>
      <c r="H208" s="4" t="s">
        <v>19</v>
      </c>
      <c r="I208" s="4">
        <v>9</v>
      </c>
      <c r="J208" s="4">
        <v>472374</v>
      </c>
      <c r="K208" s="4">
        <v>9.7899999999999991</v>
      </c>
      <c r="L208" s="4">
        <v>101013.96</v>
      </c>
      <c r="M208" s="4" t="s">
        <v>17</v>
      </c>
      <c r="N208" s="4" t="s">
        <v>14</v>
      </c>
    </row>
    <row r="209" spans="5:14" x14ac:dyDescent="0.25">
      <c r="E209" s="3">
        <v>45364</v>
      </c>
      <c r="F209" s="4" t="s">
        <v>24</v>
      </c>
      <c r="G209" s="4" t="s">
        <v>16</v>
      </c>
      <c r="H209" s="4" t="s">
        <v>19</v>
      </c>
      <c r="I209" s="4">
        <v>5</v>
      </c>
      <c r="J209" s="4">
        <v>254870</v>
      </c>
      <c r="K209" s="4">
        <v>14.71</v>
      </c>
      <c r="L209" s="4">
        <v>73380.539999999994</v>
      </c>
      <c r="M209" s="4" t="s">
        <v>13</v>
      </c>
      <c r="N209" s="4" t="s">
        <v>21</v>
      </c>
    </row>
    <row r="210" spans="5:14" hidden="1" x14ac:dyDescent="0.25">
      <c r="E210" s="3">
        <v>45487</v>
      </c>
      <c r="F210" s="4" t="s">
        <v>24</v>
      </c>
      <c r="G210" s="4" t="s">
        <v>23</v>
      </c>
      <c r="H210" s="4" t="s">
        <v>25</v>
      </c>
      <c r="I210" s="4">
        <v>10</v>
      </c>
      <c r="J210" s="4">
        <v>176740</v>
      </c>
      <c r="K210" s="4">
        <v>11.86</v>
      </c>
      <c r="L210" s="4">
        <v>52394.35</v>
      </c>
      <c r="M210" s="4" t="s">
        <v>13</v>
      </c>
      <c r="N210" s="4" t="s">
        <v>14</v>
      </c>
    </row>
    <row r="211" spans="5:14" x14ac:dyDescent="0.25">
      <c r="E211" s="3">
        <v>45380</v>
      </c>
      <c r="F211" s="4" t="s">
        <v>22</v>
      </c>
      <c r="G211" s="4" t="s">
        <v>18</v>
      </c>
      <c r="H211" s="4" t="s">
        <v>25</v>
      </c>
      <c r="I211" s="4">
        <v>7</v>
      </c>
      <c r="J211" s="4">
        <v>123977</v>
      </c>
      <c r="K211" s="4">
        <v>14.8</v>
      </c>
      <c r="L211" s="4">
        <v>34965.9</v>
      </c>
      <c r="M211" s="4" t="s">
        <v>17</v>
      </c>
      <c r="N211" s="4" t="s">
        <v>21</v>
      </c>
    </row>
    <row r="212" spans="5:14" hidden="1" x14ac:dyDescent="0.25">
      <c r="E212" s="3">
        <v>45489</v>
      </c>
      <c r="F212" s="4" t="s">
        <v>22</v>
      </c>
      <c r="G212" s="4" t="s">
        <v>18</v>
      </c>
      <c r="H212" s="4" t="s">
        <v>12</v>
      </c>
      <c r="I212" s="4">
        <v>1</v>
      </c>
      <c r="J212" s="4">
        <v>10560</v>
      </c>
      <c r="K212" s="4">
        <v>14.1</v>
      </c>
      <c r="L212" s="4">
        <v>3551.21</v>
      </c>
      <c r="M212" s="4" t="s">
        <v>13</v>
      </c>
      <c r="N212" s="4" t="s">
        <v>14</v>
      </c>
    </row>
    <row r="213" spans="5:14" x14ac:dyDescent="0.25">
      <c r="E213" s="3">
        <v>45329</v>
      </c>
      <c r="F213" s="4" t="s">
        <v>15</v>
      </c>
      <c r="G213" s="4" t="s">
        <v>16</v>
      </c>
      <c r="H213" s="4" t="s">
        <v>19</v>
      </c>
      <c r="I213" s="4">
        <v>2</v>
      </c>
      <c r="J213" s="4">
        <v>91928</v>
      </c>
      <c r="K213" s="4">
        <v>14.93</v>
      </c>
      <c r="L213" s="4">
        <v>29406.47</v>
      </c>
      <c r="M213" s="4" t="s">
        <v>17</v>
      </c>
      <c r="N213" s="4" t="s">
        <v>21</v>
      </c>
    </row>
    <row r="214" spans="5:14" hidden="1" x14ac:dyDescent="0.25">
      <c r="E214" s="3">
        <v>45491</v>
      </c>
      <c r="F214" s="4" t="s">
        <v>10</v>
      </c>
      <c r="G214" s="4" t="s">
        <v>11</v>
      </c>
      <c r="H214" s="4" t="s">
        <v>25</v>
      </c>
      <c r="I214" s="4">
        <v>3</v>
      </c>
      <c r="J214" s="4">
        <v>53055</v>
      </c>
      <c r="K214" s="4">
        <v>5.81</v>
      </c>
      <c r="L214" s="4">
        <v>14798.93</v>
      </c>
      <c r="M214" s="4" t="s">
        <v>13</v>
      </c>
      <c r="N214" s="4" t="s">
        <v>14</v>
      </c>
    </row>
  </sheetData>
  <autoFilter ref="E14:N214" xr:uid="{6B06A3D2-F716-4EFD-979F-0C47AFE3BADD}">
    <filterColumn colId="9">
      <filters>
        <filter val="Wholesale"/>
      </filters>
    </filterColumn>
    <sortState xmlns:xlrd2="http://schemas.microsoft.com/office/spreadsheetml/2017/richdata2" ref="E18:N213">
      <sortCondition ref="K15:K214"/>
    </sortState>
  </autoFilter>
  <conditionalFormatting sqref="N18:N21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{FE941C92-735C-4770-B2AA-D087AA6CB1CA}</x14:id>
        </ext>
      </extLst>
    </cfRule>
  </conditionalFormatting>
  <conditionalFormatting sqref="L14:L213">
    <cfRule type="cellIs" dxfId="12" priority="10" operator="greaterThan">
      <formula>85785.71</formula>
    </cfRule>
  </conditionalFormatting>
  <conditionalFormatting sqref="K18:K21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{06ECEEEA-A4BE-4F87-A317-E2C7108DA2F6}</x14:id>
        </ext>
      </extLst>
    </cfRule>
  </conditionalFormatting>
  <conditionalFormatting sqref="J18:J213">
    <cfRule type="colorScale" priority="8">
      <colorScale>
        <cfvo type="min"/>
        <cfvo type="max"/>
        <color rgb="FFFFEF9C"/>
        <color rgb="FF63BE7B"/>
      </colorScale>
    </cfRule>
  </conditionalFormatting>
  <conditionalFormatting sqref="I18:I213">
    <cfRule type="iconSet" priority="7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18">
    <cfRule type="top10" dxfId="11" priority="6" percent="1" rank="10"/>
  </conditionalFormatting>
  <conditionalFormatting sqref="E18:E213">
    <cfRule type="top10" dxfId="0" priority="5" percent="1" rank="10"/>
    <cfRule type="timePeriod" dxfId="1" priority="1" timePeriod="yesterday">
      <formula>FLOOR(E18,1)=TODAY()-1</formula>
    </cfRule>
  </conditionalFormatting>
  <conditionalFormatting sqref="F18:F213">
    <cfRule type="containsText" dxfId="10" priority="4" operator="containsText" text="EAST">
      <formula>NOT(ISERROR(SEARCH("EAST",F18)))</formula>
    </cfRule>
    <cfRule type="containsText" dxfId="9" priority="3" operator="containsText" text="th">
      <formula>NOT(ISERROR(SEARCH("th",F18)))</formula>
    </cfRule>
  </conditionalFormatting>
  <conditionalFormatting sqref="G18:G213">
    <cfRule type="containsText" dxfId="8" priority="2" operator="containsText" text="ravi">
      <formula>NOT(ISERROR(SEARCH("ravi",G18)))</formula>
    </cfRule>
  </conditionalFormatting>
  <dataValidations count="7">
    <dataValidation type="list" allowBlank="1" showInputMessage="1" showErrorMessage="1" errorTitle="this is not valid direction" sqref="D144:D145 D136:D139 D130 D132:D133" xr:uid="{2B83345F-71E6-4F33-9164-E856FABAFA34}">
      <formula1>"north,south,west,east"</formula1>
    </dataValidation>
    <dataValidation type="decimal" allowBlank="1" showInputMessage="1" showErrorMessage="1" errorTitle="this is not valid direction" sqref="D131" xr:uid="{3E05E1B9-F77E-4E6A-8A1E-BDF07E860C58}">
      <formula1>3.3</formula1>
      <formula2>5.5</formula2>
    </dataValidation>
    <dataValidation type="date" allowBlank="1" showInputMessage="1" showErrorMessage="1" sqref="B130" xr:uid="{8278C89A-0F37-4388-89D0-B5BC84EAF3C8}">
      <formula1>43862</formula1>
      <formula2>46024</formula2>
    </dataValidation>
    <dataValidation type="whole" allowBlank="1" showInputMessage="1" showErrorMessage="1" sqref="B151:B200" xr:uid="{660708C5-24B6-4B5A-A268-C4F05B4FCD2B}">
      <formula1>45</formula1>
      <formula2>99</formula2>
    </dataValidation>
    <dataValidation type="decimal" allowBlank="1" showInputMessage="1" showErrorMessage="1" sqref="C151" xr:uid="{3FE9A678-42D8-4581-A610-95BB957BF413}">
      <formula1>0.5</formula1>
      <formula2>1</formula2>
    </dataValidation>
    <dataValidation type="list" allowBlank="1" showInputMessage="1" showErrorMessage="1" sqref="C152:C184" xr:uid="{7F46594C-3C73-463F-A3AF-6C14D15452F6}">
      <formula1>"mango,banana,papaya,apple"</formula1>
    </dataValidation>
    <dataValidation type="custom" allowBlank="1" showInputMessage="1" showErrorMessage="1" sqref="D152" xr:uid="{1B77AA1E-BBE1-4B4D-8D1A-1A903093402E}">
      <formula1>COUNTIF(A:A,A1)=1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941C92-735C-4770-B2AA-D087AA6CB1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N18:N213</xm:sqref>
        </x14:conditionalFormatting>
        <x14:conditionalFormatting xmlns:xm="http://schemas.microsoft.com/office/excel/2006/main">
          <x14:cfRule type="dataBar" id="{06ECEEEA-A4BE-4F87-A317-E2C7108DA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K18:K213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Kushwah</dc:creator>
  <cp:lastModifiedBy>Devendra Kushwah</cp:lastModifiedBy>
  <dcterms:created xsi:type="dcterms:W3CDTF">2026-05-25T10:15:06Z</dcterms:created>
  <dcterms:modified xsi:type="dcterms:W3CDTF">2026-05-26T11:26:46Z</dcterms:modified>
</cp:coreProperties>
</file>