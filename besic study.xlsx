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ndra kushwah\OneDrive\Desktop\"/>
    </mc:Choice>
  </mc:AlternateContent>
  <xr:revisionPtr revIDLastSave="0" documentId="8_{81AE8EE8-4A8D-4948-AD90-D0F12A7E1B07}" xr6:coauthVersionLast="47" xr6:coauthVersionMax="47" xr10:uidLastSave="{00000000-0000-0000-0000-000000000000}"/>
  <bookViews>
    <workbookView xWindow="-120" yWindow="-120" windowWidth="29040" windowHeight="15720" xr2:uid="{89D2A09D-BEA3-4306-97B2-EEAED0B86D90}"/>
  </bookViews>
  <sheets>
    <sheet name="Sheet1" sheetId="1" r:id="rId1"/>
    <sheet name="Sheet2" sheetId="2" r:id="rId2"/>
    <sheet name="Sheet4" sheetId="4" r:id="rId3"/>
    <sheet name="Sheet5" sheetId="5" r:id="rId4"/>
    <sheet name="Sheet3" sheetId="3" r:id="rId5"/>
    <sheet name="Sheet6" sheetId="6" r:id="rId6"/>
    <sheet name="Sheet7" sheetId="7" r:id="rId7"/>
  </sheets>
  <definedNames>
    <definedName name="_xlchart.v1.0" hidden="1">Sheet6!$A$1</definedName>
    <definedName name="_xlchart.v1.1" hidden="1">Sheet6!$A$2:$A$13</definedName>
    <definedName name="_xlchart.v1.10" hidden="1">Sheet6!$F$1</definedName>
    <definedName name="_xlchart.v1.11" hidden="1">Sheet6!$F$2:$F$13</definedName>
    <definedName name="_xlchart.v1.12" hidden="1">Sheet6!$G$1</definedName>
    <definedName name="_xlchart.v1.13" hidden="1">Sheet6!$G$2:$G$13</definedName>
    <definedName name="_xlchart.v1.14" hidden="1">Sheet6!$H$1</definedName>
    <definedName name="_xlchart.v1.15" hidden="1">Sheet6!$H$2:$H$13</definedName>
    <definedName name="_xlchart.v1.16" hidden="1">Sheet6!$I$1</definedName>
    <definedName name="_xlchart.v1.17" hidden="1">Sheet6!$I$2:$I$13</definedName>
    <definedName name="_xlchart.v1.18" hidden="1">Sheet6!$J$17</definedName>
    <definedName name="_xlchart.v1.2" hidden="1">Sheet6!$B$1</definedName>
    <definedName name="_xlchart.v1.3" hidden="1">Sheet6!$B$2:$B$13</definedName>
    <definedName name="_xlchart.v1.4" hidden="1">Sheet6!$C$1</definedName>
    <definedName name="_xlchart.v1.5" hidden="1">Sheet6!$C$2:$C$13</definedName>
    <definedName name="_xlchart.v1.6" hidden="1">Sheet6!$D$1</definedName>
    <definedName name="_xlchart.v1.7" hidden="1">Sheet6!$D$2:$D$13</definedName>
    <definedName name="_xlchart.v1.8" hidden="1">Sheet6!$E$1</definedName>
    <definedName name="_xlchart.v1.9" hidden="1">Sheet6!$E$2:$E$13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6" l="1"/>
  <c r="S2" i="6"/>
  <c r="S3" i="6"/>
  <c r="S4" i="6"/>
  <c r="S5" i="6"/>
  <c r="S6" i="6"/>
  <c r="S7" i="6"/>
  <c r="S8" i="6"/>
  <c r="S9" i="6"/>
  <c r="S10" i="6"/>
  <c r="S11" i="6"/>
  <c r="R3" i="6"/>
  <c r="R4" i="6"/>
  <c r="R5" i="6"/>
  <c r="R6" i="6"/>
  <c r="R7" i="6"/>
  <c r="R8" i="6"/>
  <c r="R9" i="6"/>
  <c r="R10" i="6"/>
  <c r="R11" i="6"/>
  <c r="R2" i="6"/>
  <c r="Q3" i="6"/>
  <c r="Q4" i="6"/>
  <c r="Q5" i="6"/>
  <c r="Q6" i="6"/>
  <c r="Q7" i="6"/>
  <c r="Q8" i="6"/>
  <c r="Q9" i="6"/>
  <c r="Q10" i="6"/>
  <c r="Q11" i="6"/>
  <c r="Q2" i="6"/>
  <c r="P3" i="6"/>
  <c r="P4" i="6"/>
  <c r="P5" i="6"/>
  <c r="P6" i="6"/>
  <c r="P7" i="6"/>
  <c r="P8" i="6"/>
  <c r="P9" i="6"/>
  <c r="P10" i="6"/>
  <c r="P11" i="6"/>
  <c r="P2" i="6"/>
  <c r="O4" i="6"/>
  <c r="O2" i="6"/>
  <c r="O3" i="6"/>
  <c r="O5" i="6"/>
  <c r="O6" i="6"/>
  <c r="O7" i="6"/>
  <c r="O8" i="6"/>
  <c r="O9" i="6"/>
  <c r="O10" i="6"/>
  <c r="O11" i="6"/>
  <c r="L3" i="6"/>
  <c r="L4" i="6"/>
  <c r="L5" i="6"/>
  <c r="L6" i="6"/>
  <c r="L7" i="6"/>
  <c r="L8" i="6"/>
  <c r="L9" i="6"/>
  <c r="L10" i="6"/>
  <c r="L11" i="6"/>
  <c r="L2" i="6"/>
  <c r="K3" i="6"/>
  <c r="K4" i="6"/>
  <c r="K5" i="6"/>
  <c r="K6" i="6"/>
  <c r="K7" i="6"/>
  <c r="K8" i="6"/>
  <c r="K9" i="6"/>
  <c r="K10" i="6"/>
  <c r="K11" i="6"/>
  <c r="K2" i="6" l="1"/>
  <c r="J3" i="6" l="1"/>
  <c r="J4" i="6"/>
  <c r="J5" i="6"/>
  <c r="J6" i="6"/>
  <c r="J7" i="6"/>
  <c r="J8" i="6"/>
  <c r="J9" i="6"/>
  <c r="J10" i="6"/>
  <c r="J11" i="6"/>
  <c r="I3" i="6"/>
  <c r="N3" i="6" s="1"/>
  <c r="I4" i="6"/>
  <c r="N4" i="6" s="1"/>
  <c r="I5" i="6"/>
  <c r="N5" i="6" s="1"/>
  <c r="I6" i="6"/>
  <c r="N6" i="6" s="1"/>
  <c r="I7" i="6"/>
  <c r="N7" i="6" s="1"/>
  <c r="I8" i="6"/>
  <c r="N8" i="6" s="1"/>
  <c r="I9" i="6"/>
  <c r="N9" i="6" s="1"/>
  <c r="I10" i="6"/>
  <c r="N10" i="6" s="1"/>
  <c r="I11" i="6"/>
  <c r="N11" i="6" s="1"/>
  <c r="I2" i="6"/>
  <c r="N2" i="6" s="1"/>
  <c r="O24" i="6"/>
  <c r="H3" i="6"/>
  <c r="M3" i="6" s="1"/>
  <c r="H4" i="6"/>
  <c r="M4" i="6" s="1"/>
  <c r="H5" i="6"/>
  <c r="M5" i="6" s="1"/>
  <c r="H6" i="6"/>
  <c r="M6" i="6" s="1"/>
  <c r="H7" i="6"/>
  <c r="M7" i="6" s="1"/>
  <c r="H8" i="6"/>
  <c r="M8" i="6" s="1"/>
  <c r="H9" i="6"/>
  <c r="M9" i="6" s="1"/>
  <c r="H10" i="6"/>
  <c r="M10" i="6" s="1"/>
  <c r="H11" i="6"/>
  <c r="M11" i="6" s="1"/>
  <c r="H2" i="6"/>
  <c r="M2" i="6" s="1"/>
  <c r="Y21" i="5"/>
  <c r="X8" i="5"/>
  <c r="W7" i="5"/>
  <c r="W4" i="5"/>
  <c r="W12" i="5"/>
  <c r="W11" i="5"/>
  <c r="X9" i="5"/>
  <c r="W10" i="5"/>
  <c r="V6" i="5"/>
  <c r="W6" i="5" s="1"/>
  <c r="W5" i="5"/>
  <c r="V5" i="5"/>
  <c r="X5" i="5" s="1"/>
  <c r="E16" i="5"/>
  <c r="E17" i="5"/>
  <c r="E18" i="5"/>
  <c r="E19" i="5"/>
  <c r="E20" i="5"/>
  <c r="E21" i="5"/>
  <c r="E22" i="5"/>
  <c r="E23" i="5"/>
  <c r="E15" i="5"/>
  <c r="C6" i="5"/>
  <c r="C5" i="5"/>
  <c r="C4" i="5"/>
  <c r="D6" i="5"/>
  <c r="D5" i="5"/>
  <c r="D4" i="5"/>
  <c r="D3" i="5"/>
  <c r="C3" i="5"/>
  <c r="A308" i="4"/>
  <c r="E308" i="4" s="1"/>
  <c r="A307" i="4"/>
  <c r="A306" i="4"/>
  <c r="M306" i="4" s="1"/>
  <c r="A305" i="4"/>
  <c r="A304" i="4"/>
  <c r="D304" i="4" s="1"/>
  <c r="A303" i="4"/>
  <c r="B303" i="4" s="1"/>
  <c r="A302" i="4"/>
  <c r="B302" i="4" s="1"/>
  <c r="A301" i="4"/>
  <c r="B301" i="4" s="1"/>
  <c r="A300" i="4"/>
  <c r="M300" i="4" s="1"/>
  <c r="A299" i="4"/>
  <c r="A298" i="4"/>
  <c r="M298" i="4" s="1"/>
  <c r="A297" i="4"/>
  <c r="D297" i="4" s="1"/>
  <c r="A296" i="4"/>
  <c r="D296" i="4" s="1"/>
  <c r="A295" i="4"/>
  <c r="B295" i="4" s="1"/>
  <c r="A294" i="4"/>
  <c r="E294" i="4" s="1"/>
  <c r="A293" i="4"/>
  <c r="M293" i="4" s="1"/>
  <c r="A292" i="4"/>
  <c r="M292" i="4" s="1"/>
  <c r="A291" i="4"/>
  <c r="M291" i="4" s="1"/>
  <c r="A290" i="4"/>
  <c r="M290" i="4" s="1"/>
  <c r="A289" i="4"/>
  <c r="A288" i="4"/>
  <c r="E288" i="4" s="1"/>
  <c r="A287" i="4"/>
  <c r="C287" i="4" s="1"/>
  <c r="A286" i="4"/>
  <c r="C286" i="4" s="1"/>
  <c r="A285" i="4"/>
  <c r="B285" i="4" s="1"/>
  <c r="A284" i="4"/>
  <c r="E284" i="4" s="1"/>
  <c r="A283" i="4"/>
  <c r="A282" i="4"/>
  <c r="M282" i="4" s="1"/>
  <c r="A281" i="4"/>
  <c r="A280" i="4"/>
  <c r="D280" i="4" s="1"/>
  <c r="A279" i="4"/>
  <c r="E279" i="4" s="1"/>
  <c r="A278" i="4"/>
  <c r="E278" i="4" s="1"/>
  <c r="A277" i="4"/>
  <c r="B277" i="4" s="1"/>
  <c r="A276" i="4"/>
  <c r="E276" i="4" s="1"/>
  <c r="A275" i="4"/>
  <c r="A274" i="4"/>
  <c r="M274" i="4" s="1"/>
  <c r="A273" i="4"/>
  <c r="A272" i="4"/>
  <c r="E272" i="4" s="1"/>
  <c r="A271" i="4"/>
  <c r="E271" i="4" s="1"/>
  <c r="A270" i="4"/>
  <c r="E270" i="4" s="1"/>
  <c r="A269" i="4"/>
  <c r="B269" i="4" s="1"/>
  <c r="A268" i="4"/>
  <c r="M268" i="4" s="1"/>
  <c r="A267" i="4"/>
  <c r="M267" i="4" s="1"/>
  <c r="A266" i="4"/>
  <c r="M266" i="4" s="1"/>
  <c r="A265" i="4"/>
  <c r="A264" i="4"/>
  <c r="B264" i="4" s="1"/>
  <c r="A263" i="4"/>
  <c r="E263" i="4" s="1"/>
  <c r="A262" i="4"/>
  <c r="E262" i="4" s="1"/>
  <c r="A261" i="4"/>
  <c r="M261" i="4" s="1"/>
  <c r="A260" i="4"/>
  <c r="M260" i="4" s="1"/>
  <c r="A259" i="4"/>
  <c r="M259" i="4" s="1"/>
  <c r="A258" i="4"/>
  <c r="M258" i="4" s="1"/>
  <c r="A257" i="4"/>
  <c r="A256" i="4"/>
  <c r="C256" i="4" s="1"/>
  <c r="A255" i="4"/>
  <c r="M255" i="4" s="1"/>
  <c r="A254" i="4"/>
  <c r="E254" i="4" s="1"/>
  <c r="A253" i="4"/>
  <c r="M253" i="4" s="1"/>
  <c r="A252" i="4"/>
  <c r="E252" i="4" s="1"/>
  <c r="A251" i="4"/>
  <c r="A250" i="4"/>
  <c r="M250" i="4" s="1"/>
  <c r="A249" i="4"/>
  <c r="A248" i="4"/>
  <c r="B248" i="4" s="1"/>
  <c r="A247" i="4"/>
  <c r="M247" i="4" s="1"/>
  <c r="A246" i="4"/>
  <c r="E246" i="4" s="1"/>
  <c r="A245" i="4"/>
  <c r="M245" i="4" s="1"/>
  <c r="A244" i="4"/>
  <c r="M244" i="4" s="1"/>
  <c r="A243" i="4"/>
  <c r="A242" i="4"/>
  <c r="M242" i="4" s="1"/>
  <c r="A241" i="4"/>
  <c r="A240" i="4"/>
  <c r="C240" i="4" s="1"/>
  <c r="A239" i="4"/>
  <c r="M239" i="4" s="1"/>
  <c r="A238" i="4"/>
  <c r="D238" i="4" s="1"/>
  <c r="A237" i="4"/>
  <c r="C237" i="4" s="1"/>
  <c r="A236" i="4"/>
  <c r="E236" i="4" s="1"/>
  <c r="A235" i="4"/>
  <c r="A234" i="4"/>
  <c r="A233" i="4"/>
  <c r="A232" i="4"/>
  <c r="E232" i="4" s="1"/>
  <c r="A231" i="4"/>
  <c r="M231" i="4" s="1"/>
  <c r="A230" i="4"/>
  <c r="C230" i="4" s="1"/>
  <c r="A229" i="4"/>
  <c r="C229" i="4" s="1"/>
  <c r="A228" i="4"/>
  <c r="M228" i="4" s="1"/>
  <c r="A227" i="4"/>
  <c r="M227" i="4" s="1"/>
  <c r="A226" i="4"/>
  <c r="M226" i="4" s="1"/>
  <c r="A225" i="4"/>
  <c r="A224" i="4"/>
  <c r="D224" i="4" s="1"/>
  <c r="A223" i="4"/>
  <c r="M223" i="4" s="1"/>
  <c r="A222" i="4"/>
  <c r="C222" i="4" s="1"/>
  <c r="A221" i="4"/>
  <c r="M221" i="4" s="1"/>
  <c r="A220" i="4"/>
  <c r="E220" i="4" s="1"/>
  <c r="A219" i="4"/>
  <c r="A218" i="4"/>
  <c r="A217" i="4"/>
  <c r="A216" i="4"/>
  <c r="D216" i="4" s="1"/>
  <c r="A215" i="4"/>
  <c r="M215" i="4" s="1"/>
  <c r="A214" i="4"/>
  <c r="C214" i="4" s="1"/>
  <c r="A213" i="4"/>
  <c r="M213" i="4" s="1"/>
  <c r="A212" i="4"/>
  <c r="M212" i="4" s="1"/>
  <c r="A211" i="4"/>
  <c r="M211" i="4" s="1"/>
  <c r="A210" i="4"/>
  <c r="M210" i="4" s="1"/>
  <c r="A209" i="4"/>
  <c r="A208" i="4"/>
  <c r="C208" i="4" s="1"/>
  <c r="A207" i="4"/>
  <c r="M207" i="4" s="1"/>
  <c r="A206" i="4"/>
  <c r="B206" i="4" s="1"/>
  <c r="A205" i="4"/>
  <c r="M205" i="4" s="1"/>
  <c r="A204" i="4"/>
  <c r="M204" i="4" s="1"/>
  <c r="A203" i="4"/>
  <c r="M203" i="4" s="1"/>
  <c r="A202" i="4"/>
  <c r="M202" i="4" s="1"/>
  <c r="A201" i="4"/>
  <c r="A200" i="4"/>
  <c r="C200" i="4" s="1"/>
  <c r="A199" i="4"/>
  <c r="E199" i="4" s="1"/>
  <c r="A198" i="4"/>
  <c r="M198" i="4" s="1"/>
  <c r="A197" i="4"/>
  <c r="M197" i="4" s="1"/>
  <c r="A196" i="4"/>
  <c r="B196" i="4" s="1"/>
  <c r="A195" i="4"/>
  <c r="A194" i="4"/>
  <c r="M194" i="4" s="1"/>
  <c r="A193" i="4"/>
  <c r="A192" i="4"/>
  <c r="B192" i="4" s="1"/>
  <c r="A191" i="4"/>
  <c r="M191" i="4" s="1"/>
  <c r="A190" i="4"/>
  <c r="M190" i="4" s="1"/>
  <c r="A189" i="4"/>
  <c r="E189" i="4" s="1"/>
  <c r="A188" i="4"/>
  <c r="M188" i="4" s="1"/>
  <c r="A187" i="4"/>
  <c r="M187" i="4" s="1"/>
  <c r="A186" i="4"/>
  <c r="A185" i="4"/>
  <c r="A184" i="4"/>
  <c r="M184" i="4" s="1"/>
  <c r="A183" i="4"/>
  <c r="B183" i="4" s="1"/>
  <c r="A182" i="4"/>
  <c r="M182" i="4" s="1"/>
  <c r="A181" i="4"/>
  <c r="M181" i="4" s="1"/>
  <c r="A180" i="4"/>
  <c r="M180" i="4" s="1"/>
  <c r="A179" i="4"/>
  <c r="A178" i="4"/>
  <c r="A177" i="4"/>
  <c r="M177" i="4" s="1"/>
  <c r="A176" i="4"/>
  <c r="C176" i="4" s="1"/>
  <c r="A175" i="4"/>
  <c r="E175" i="4" s="1"/>
  <c r="A174" i="4"/>
  <c r="M174" i="4" s="1"/>
  <c r="A173" i="4"/>
  <c r="M173" i="4" s="1"/>
  <c r="A172" i="4"/>
  <c r="B172" i="4" s="1"/>
  <c r="A171" i="4"/>
  <c r="A170" i="4"/>
  <c r="M170" i="4" s="1"/>
  <c r="A169" i="4"/>
  <c r="A168" i="4"/>
  <c r="C168" i="4" s="1"/>
  <c r="A167" i="4"/>
  <c r="E167" i="4" s="1"/>
  <c r="A166" i="4"/>
  <c r="M166" i="4" s="1"/>
  <c r="A165" i="4"/>
  <c r="M165" i="4" s="1"/>
  <c r="A164" i="4"/>
  <c r="M164" i="4" s="1"/>
  <c r="A163" i="4"/>
  <c r="A162" i="4"/>
  <c r="A161" i="4"/>
  <c r="A160" i="4"/>
  <c r="C160" i="4" s="1"/>
  <c r="A159" i="4"/>
  <c r="M159" i="4" s="1"/>
  <c r="A158" i="4"/>
  <c r="M158" i="4" s="1"/>
  <c r="A157" i="4"/>
  <c r="E157" i="4" s="1"/>
  <c r="A156" i="4"/>
  <c r="M156" i="4" s="1"/>
  <c r="A155" i="4"/>
  <c r="A154" i="4"/>
  <c r="A153" i="4"/>
  <c r="A152" i="4"/>
  <c r="B152" i="4" s="1"/>
  <c r="A151" i="4"/>
  <c r="B151" i="4" s="1"/>
  <c r="A150" i="4"/>
  <c r="M150" i="4" s="1"/>
  <c r="A149" i="4"/>
  <c r="D149" i="4" s="1"/>
  <c r="A148" i="4"/>
  <c r="M148" i="4" s="1"/>
  <c r="A147" i="4"/>
  <c r="A146" i="4"/>
  <c r="A145" i="4"/>
  <c r="M145" i="4" s="1"/>
  <c r="A144" i="4"/>
  <c r="C144" i="4" s="1"/>
  <c r="A143" i="4"/>
  <c r="E143" i="4" s="1"/>
  <c r="A142" i="4"/>
  <c r="M142" i="4" s="1"/>
  <c r="A141" i="4"/>
  <c r="M141" i="4" s="1"/>
  <c r="A140" i="4"/>
  <c r="M140" i="4" s="1"/>
  <c r="A139" i="4"/>
  <c r="A138" i="4"/>
  <c r="M138" i="4" s="1"/>
  <c r="A137" i="4"/>
  <c r="A136" i="4"/>
  <c r="C136" i="4" s="1"/>
  <c r="A135" i="4"/>
  <c r="D135" i="4" s="1"/>
  <c r="A134" i="4"/>
  <c r="M134" i="4" s="1"/>
  <c r="A133" i="4"/>
  <c r="B133" i="4" s="1"/>
  <c r="A132" i="4"/>
  <c r="C132" i="4" s="1"/>
  <c r="A131" i="4"/>
  <c r="A130" i="4"/>
  <c r="A129" i="4"/>
  <c r="A128" i="4"/>
  <c r="B128" i="4" s="1"/>
  <c r="A127" i="4"/>
  <c r="M127" i="4" s="1"/>
  <c r="A126" i="4"/>
  <c r="M126" i="4" s="1"/>
  <c r="A125" i="4"/>
  <c r="E125" i="4" s="1"/>
  <c r="A124" i="4"/>
  <c r="M124" i="4" s="1"/>
  <c r="A123" i="4"/>
  <c r="A122" i="4"/>
  <c r="M122" i="4" s="1"/>
  <c r="A121" i="4"/>
  <c r="A120" i="4"/>
  <c r="B120" i="4" s="1"/>
  <c r="A119" i="4"/>
  <c r="B119" i="4" s="1"/>
  <c r="A118" i="4"/>
  <c r="M118" i="4" s="1"/>
  <c r="A117" i="4"/>
  <c r="M117" i="4" s="1"/>
  <c r="A116" i="4"/>
  <c r="M116" i="4" s="1"/>
  <c r="A115" i="4"/>
  <c r="A114" i="4"/>
  <c r="M114" i="4" s="1"/>
  <c r="A113" i="4"/>
  <c r="E113" i="4" s="1"/>
  <c r="A112" i="4"/>
  <c r="M112" i="4" s="1"/>
  <c r="A111" i="4"/>
  <c r="M111" i="4" s="1"/>
  <c r="A110" i="4"/>
  <c r="M110" i="4" s="1"/>
  <c r="A109" i="4"/>
  <c r="E109" i="4" s="1"/>
  <c r="A108" i="4"/>
  <c r="M108" i="4" s="1"/>
  <c r="A107" i="4"/>
  <c r="A106" i="4"/>
  <c r="A105" i="4"/>
  <c r="B105" i="4" s="1"/>
  <c r="A104" i="4"/>
  <c r="C104" i="4" s="1"/>
  <c r="A103" i="4"/>
  <c r="E103" i="4" s="1"/>
  <c r="A102" i="4"/>
  <c r="M102" i="4" s="1"/>
  <c r="A101" i="4"/>
  <c r="M101" i="4" s="1"/>
  <c r="A100" i="4"/>
  <c r="M100" i="4" s="1"/>
  <c r="A99" i="4"/>
  <c r="M99" i="4" s="1"/>
  <c r="A98" i="4"/>
  <c r="A97" i="4"/>
  <c r="E97" i="4" s="1"/>
  <c r="A96" i="4"/>
  <c r="E96" i="4" s="1"/>
  <c r="A95" i="4"/>
  <c r="M95" i="4" s="1"/>
  <c r="A94" i="4"/>
  <c r="C94" i="4" s="1"/>
  <c r="A93" i="4"/>
  <c r="M93" i="4" s="1"/>
  <c r="A92" i="4"/>
  <c r="M92" i="4" s="1"/>
  <c r="A91" i="4"/>
  <c r="A90" i="4"/>
  <c r="A89" i="4"/>
  <c r="B89" i="4" s="1"/>
  <c r="A88" i="4"/>
  <c r="M88" i="4" s="1"/>
  <c r="A87" i="4"/>
  <c r="M87" i="4" s="1"/>
  <c r="A86" i="4"/>
  <c r="M86" i="4" s="1"/>
  <c r="A85" i="4"/>
  <c r="C85" i="4" s="1"/>
  <c r="A84" i="4"/>
  <c r="M84" i="4" s="1"/>
  <c r="A83" i="4"/>
  <c r="M83" i="4" s="1"/>
  <c r="A82" i="4"/>
  <c r="A81" i="4"/>
  <c r="E81" i="4" s="1"/>
  <c r="A80" i="4"/>
  <c r="E80" i="4" s="1"/>
  <c r="A79" i="4"/>
  <c r="B79" i="4" s="1"/>
  <c r="A78" i="4"/>
  <c r="D78" i="4" s="1"/>
  <c r="A77" i="4"/>
  <c r="M77" i="4" s="1"/>
  <c r="A76" i="4"/>
  <c r="B76" i="4" s="1"/>
  <c r="A75" i="4"/>
  <c r="A74" i="4"/>
  <c r="A73" i="4"/>
  <c r="B73" i="4" s="1"/>
  <c r="A72" i="4"/>
  <c r="C72" i="4" s="1"/>
  <c r="A71" i="4"/>
  <c r="M71" i="4" s="1"/>
  <c r="A70" i="4"/>
  <c r="M70" i="4" s="1"/>
  <c r="A69" i="4"/>
  <c r="B69" i="4" s="1"/>
  <c r="A68" i="4"/>
  <c r="M68" i="4" s="1"/>
  <c r="A67" i="4"/>
  <c r="M67" i="4" s="1"/>
  <c r="A66" i="4"/>
  <c r="A65" i="4"/>
  <c r="E65" i="4" s="1"/>
  <c r="A64" i="4"/>
  <c r="E64" i="4" s="1"/>
  <c r="A63" i="4"/>
  <c r="C63" i="4" s="1"/>
  <c r="A62" i="4"/>
  <c r="M62" i="4" s="1"/>
  <c r="A61" i="4"/>
  <c r="M61" i="4" s="1"/>
  <c r="A60" i="4"/>
  <c r="M60" i="4" s="1"/>
  <c r="A59" i="4"/>
  <c r="A58" i="4"/>
  <c r="A57" i="4"/>
  <c r="B57" i="4" s="1"/>
  <c r="A56" i="4"/>
  <c r="M56" i="4" s="1"/>
  <c r="A55" i="4"/>
  <c r="B55" i="4" s="1"/>
  <c r="A54" i="4"/>
  <c r="B54" i="4" s="1"/>
  <c r="A53" i="4"/>
  <c r="E53" i="4" s="1"/>
  <c r="A52" i="4"/>
  <c r="M52" i="4" s="1"/>
  <c r="A51" i="4"/>
  <c r="A50" i="4"/>
  <c r="M50" i="4" s="1"/>
  <c r="A49" i="4"/>
  <c r="E49" i="4" s="1"/>
  <c r="A48" i="4"/>
  <c r="E48" i="4" s="1"/>
  <c r="A47" i="4"/>
  <c r="M47" i="4" s="1"/>
  <c r="A46" i="4"/>
  <c r="M46" i="4" s="1"/>
  <c r="A45" i="4"/>
  <c r="B45" i="4" s="1"/>
  <c r="A44" i="4"/>
  <c r="M44" i="4" s="1"/>
  <c r="A43" i="4"/>
  <c r="A42" i="4"/>
  <c r="A41" i="4"/>
  <c r="B41" i="4" s="1"/>
  <c r="A40" i="4"/>
  <c r="C40" i="4" s="1"/>
  <c r="A39" i="4"/>
  <c r="E39" i="4" s="1"/>
  <c r="A38" i="4"/>
  <c r="M38" i="4" s="1"/>
  <c r="A37" i="4"/>
  <c r="M37" i="4" s="1"/>
  <c r="A36" i="4"/>
  <c r="E36" i="4" s="1"/>
  <c r="A35" i="4"/>
  <c r="A34" i="4"/>
  <c r="A33" i="4"/>
  <c r="B33" i="4" s="1"/>
  <c r="A32" i="4"/>
  <c r="B32" i="4" s="1"/>
  <c r="A31" i="4"/>
  <c r="E31" i="4" s="1"/>
  <c r="A30" i="4"/>
  <c r="M30" i="4" s="1"/>
  <c r="A29" i="4"/>
  <c r="M29" i="4" s="1"/>
  <c r="A28" i="4"/>
  <c r="M28" i="4" s="1"/>
  <c r="A27" i="4"/>
  <c r="M27" i="4" s="1"/>
  <c r="A26" i="4"/>
  <c r="A25" i="4"/>
  <c r="B25" i="4" s="1"/>
  <c r="A24" i="4"/>
  <c r="B24" i="4" s="1"/>
  <c r="A23" i="4"/>
  <c r="E23" i="4" s="1"/>
  <c r="A22" i="4"/>
  <c r="M22" i="4" s="1"/>
  <c r="A21" i="4"/>
  <c r="B21" i="4" s="1"/>
  <c r="A20" i="4"/>
  <c r="M20" i="4" s="1"/>
  <c r="A19" i="4"/>
  <c r="M19" i="4" s="1"/>
  <c r="A18" i="4"/>
  <c r="A17" i="4"/>
  <c r="B17" i="4" s="1"/>
  <c r="A16" i="4"/>
  <c r="B16" i="4" s="1"/>
  <c r="A15" i="4"/>
  <c r="E15" i="4" s="1"/>
  <c r="A14" i="4"/>
  <c r="E14" i="4" s="1"/>
  <c r="A13" i="4"/>
  <c r="B13" i="4" s="1"/>
  <c r="A12" i="4"/>
  <c r="M12" i="4" s="1"/>
  <c r="A11" i="4"/>
  <c r="A10" i="4"/>
  <c r="A9" i="4"/>
  <c r="B9" i="4" s="1"/>
  <c r="A8" i="4"/>
  <c r="E8" i="4" s="1"/>
  <c r="A7" i="4"/>
  <c r="E7" i="4" s="1"/>
  <c r="A6" i="4"/>
  <c r="M6" i="4" s="1"/>
  <c r="A5" i="4"/>
  <c r="B5" i="4" s="1"/>
  <c r="A4" i="4"/>
  <c r="M4" i="4" s="1"/>
  <c r="A3" i="4"/>
  <c r="A2" i="4"/>
  <c r="B2" i="4" s="1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K308" i="4"/>
  <c r="J308" i="4"/>
  <c r="I308" i="4"/>
  <c r="H308" i="4"/>
  <c r="G308" i="4"/>
  <c r="K307" i="4"/>
  <c r="J307" i="4"/>
  <c r="I307" i="4"/>
  <c r="H307" i="4"/>
  <c r="G307" i="4"/>
  <c r="K306" i="4"/>
  <c r="J306" i="4"/>
  <c r="I306" i="4"/>
  <c r="H306" i="4"/>
  <c r="G306" i="4"/>
  <c r="K305" i="4"/>
  <c r="J305" i="4"/>
  <c r="I305" i="4"/>
  <c r="H305" i="4"/>
  <c r="G305" i="4"/>
  <c r="K304" i="4"/>
  <c r="J304" i="4"/>
  <c r="I304" i="4"/>
  <c r="H304" i="4"/>
  <c r="G304" i="4"/>
  <c r="K303" i="4"/>
  <c r="J303" i="4"/>
  <c r="I303" i="4"/>
  <c r="H303" i="4"/>
  <c r="G303" i="4"/>
  <c r="K302" i="4"/>
  <c r="J302" i="4"/>
  <c r="I302" i="4"/>
  <c r="H302" i="4"/>
  <c r="G302" i="4"/>
  <c r="K301" i="4"/>
  <c r="J301" i="4"/>
  <c r="I301" i="4"/>
  <c r="H301" i="4"/>
  <c r="G301" i="4"/>
  <c r="K300" i="4"/>
  <c r="J300" i="4"/>
  <c r="I300" i="4"/>
  <c r="H300" i="4"/>
  <c r="G300" i="4"/>
  <c r="K299" i="4"/>
  <c r="J299" i="4"/>
  <c r="I299" i="4"/>
  <c r="H299" i="4"/>
  <c r="G299" i="4"/>
  <c r="K298" i="4"/>
  <c r="J298" i="4"/>
  <c r="I298" i="4"/>
  <c r="H298" i="4"/>
  <c r="G298" i="4"/>
  <c r="K297" i="4"/>
  <c r="J297" i="4"/>
  <c r="I297" i="4"/>
  <c r="H297" i="4"/>
  <c r="G297" i="4"/>
  <c r="K296" i="4"/>
  <c r="J296" i="4"/>
  <c r="I296" i="4"/>
  <c r="H296" i="4"/>
  <c r="G296" i="4"/>
  <c r="K295" i="4"/>
  <c r="J295" i="4"/>
  <c r="I295" i="4"/>
  <c r="H295" i="4"/>
  <c r="G295" i="4"/>
  <c r="K294" i="4"/>
  <c r="J294" i="4"/>
  <c r="I294" i="4"/>
  <c r="H294" i="4"/>
  <c r="G294" i="4"/>
  <c r="K293" i="4"/>
  <c r="J293" i="4"/>
  <c r="I293" i="4"/>
  <c r="H293" i="4"/>
  <c r="G293" i="4"/>
  <c r="K292" i="4"/>
  <c r="J292" i="4"/>
  <c r="I292" i="4"/>
  <c r="H292" i="4"/>
  <c r="G292" i="4"/>
  <c r="K291" i="4"/>
  <c r="J291" i="4"/>
  <c r="I291" i="4"/>
  <c r="H291" i="4"/>
  <c r="G291" i="4"/>
  <c r="K290" i="4"/>
  <c r="J290" i="4"/>
  <c r="I290" i="4"/>
  <c r="H290" i="4"/>
  <c r="G290" i="4"/>
  <c r="K289" i="4"/>
  <c r="J289" i="4"/>
  <c r="I289" i="4"/>
  <c r="H289" i="4"/>
  <c r="G289" i="4"/>
  <c r="K288" i="4"/>
  <c r="J288" i="4"/>
  <c r="I288" i="4"/>
  <c r="H288" i="4"/>
  <c r="G288" i="4"/>
  <c r="K287" i="4"/>
  <c r="J287" i="4"/>
  <c r="I287" i="4"/>
  <c r="H287" i="4"/>
  <c r="G287" i="4"/>
  <c r="K286" i="4"/>
  <c r="J286" i="4"/>
  <c r="I286" i="4"/>
  <c r="H286" i="4"/>
  <c r="G286" i="4"/>
  <c r="K285" i="4"/>
  <c r="J285" i="4"/>
  <c r="I285" i="4"/>
  <c r="H285" i="4"/>
  <c r="G285" i="4"/>
  <c r="K284" i="4"/>
  <c r="J284" i="4"/>
  <c r="I284" i="4"/>
  <c r="H284" i="4"/>
  <c r="G284" i="4"/>
  <c r="K283" i="4"/>
  <c r="J283" i="4"/>
  <c r="I283" i="4"/>
  <c r="H283" i="4"/>
  <c r="G283" i="4"/>
  <c r="K282" i="4"/>
  <c r="J282" i="4"/>
  <c r="I282" i="4"/>
  <c r="H282" i="4"/>
  <c r="G282" i="4"/>
  <c r="K281" i="4"/>
  <c r="J281" i="4"/>
  <c r="I281" i="4"/>
  <c r="H281" i="4"/>
  <c r="G281" i="4"/>
  <c r="K280" i="4"/>
  <c r="J280" i="4"/>
  <c r="I280" i="4"/>
  <c r="H280" i="4"/>
  <c r="G280" i="4"/>
  <c r="K279" i="4"/>
  <c r="J279" i="4"/>
  <c r="I279" i="4"/>
  <c r="H279" i="4"/>
  <c r="G279" i="4"/>
  <c r="K278" i="4"/>
  <c r="J278" i="4"/>
  <c r="I278" i="4"/>
  <c r="H278" i="4"/>
  <c r="G278" i="4"/>
  <c r="K277" i="4"/>
  <c r="J277" i="4"/>
  <c r="I277" i="4"/>
  <c r="H277" i="4"/>
  <c r="G277" i="4"/>
  <c r="K276" i="4"/>
  <c r="J276" i="4"/>
  <c r="I276" i="4"/>
  <c r="H276" i="4"/>
  <c r="G276" i="4"/>
  <c r="K275" i="4"/>
  <c r="J275" i="4"/>
  <c r="I275" i="4"/>
  <c r="H275" i="4"/>
  <c r="G275" i="4"/>
  <c r="K274" i="4"/>
  <c r="J274" i="4"/>
  <c r="I274" i="4"/>
  <c r="H274" i="4"/>
  <c r="G274" i="4"/>
  <c r="K273" i="4"/>
  <c r="J273" i="4"/>
  <c r="I273" i="4"/>
  <c r="H273" i="4"/>
  <c r="G273" i="4"/>
  <c r="K272" i="4"/>
  <c r="J272" i="4"/>
  <c r="I272" i="4"/>
  <c r="H272" i="4"/>
  <c r="G272" i="4"/>
  <c r="K271" i="4"/>
  <c r="J271" i="4"/>
  <c r="I271" i="4"/>
  <c r="H271" i="4"/>
  <c r="G271" i="4"/>
  <c r="K270" i="4"/>
  <c r="J270" i="4"/>
  <c r="I270" i="4"/>
  <c r="H270" i="4"/>
  <c r="G270" i="4"/>
  <c r="K269" i="4"/>
  <c r="J269" i="4"/>
  <c r="I269" i="4"/>
  <c r="H269" i="4"/>
  <c r="G269" i="4"/>
  <c r="K268" i="4"/>
  <c r="J268" i="4"/>
  <c r="I268" i="4"/>
  <c r="H268" i="4"/>
  <c r="G268" i="4"/>
  <c r="K267" i="4"/>
  <c r="J267" i="4"/>
  <c r="I267" i="4"/>
  <c r="H267" i="4"/>
  <c r="G267" i="4"/>
  <c r="K266" i="4"/>
  <c r="J266" i="4"/>
  <c r="I266" i="4"/>
  <c r="H266" i="4"/>
  <c r="G266" i="4"/>
  <c r="K265" i="4"/>
  <c r="J265" i="4"/>
  <c r="I265" i="4"/>
  <c r="H265" i="4"/>
  <c r="G265" i="4"/>
  <c r="K264" i="4"/>
  <c r="J264" i="4"/>
  <c r="I264" i="4"/>
  <c r="H264" i="4"/>
  <c r="G264" i="4"/>
  <c r="K263" i="4"/>
  <c r="J263" i="4"/>
  <c r="I263" i="4"/>
  <c r="H263" i="4"/>
  <c r="G263" i="4"/>
  <c r="K262" i="4"/>
  <c r="J262" i="4"/>
  <c r="I262" i="4"/>
  <c r="H262" i="4"/>
  <c r="G262" i="4"/>
  <c r="K261" i="4"/>
  <c r="J261" i="4"/>
  <c r="I261" i="4"/>
  <c r="H261" i="4"/>
  <c r="G261" i="4"/>
  <c r="K260" i="4"/>
  <c r="J260" i="4"/>
  <c r="I260" i="4"/>
  <c r="H260" i="4"/>
  <c r="G260" i="4"/>
  <c r="K259" i="4"/>
  <c r="J259" i="4"/>
  <c r="I259" i="4"/>
  <c r="H259" i="4"/>
  <c r="G259" i="4"/>
  <c r="K258" i="4"/>
  <c r="J258" i="4"/>
  <c r="I258" i="4"/>
  <c r="H258" i="4"/>
  <c r="G258" i="4"/>
  <c r="K257" i="4"/>
  <c r="J257" i="4"/>
  <c r="I257" i="4"/>
  <c r="H257" i="4"/>
  <c r="G257" i="4"/>
  <c r="K256" i="4"/>
  <c r="J256" i="4"/>
  <c r="I256" i="4"/>
  <c r="H256" i="4"/>
  <c r="G256" i="4"/>
  <c r="K255" i="4"/>
  <c r="J255" i="4"/>
  <c r="I255" i="4"/>
  <c r="H255" i="4"/>
  <c r="G255" i="4"/>
  <c r="K254" i="4"/>
  <c r="J254" i="4"/>
  <c r="I254" i="4"/>
  <c r="H254" i="4"/>
  <c r="G254" i="4"/>
  <c r="K253" i="4"/>
  <c r="J253" i="4"/>
  <c r="I253" i="4"/>
  <c r="H253" i="4"/>
  <c r="G253" i="4"/>
  <c r="K252" i="4"/>
  <c r="J252" i="4"/>
  <c r="I252" i="4"/>
  <c r="H252" i="4"/>
  <c r="G252" i="4"/>
  <c r="K251" i="4"/>
  <c r="J251" i="4"/>
  <c r="I251" i="4"/>
  <c r="H251" i="4"/>
  <c r="G251" i="4"/>
  <c r="K250" i="4"/>
  <c r="J250" i="4"/>
  <c r="I250" i="4"/>
  <c r="H250" i="4"/>
  <c r="G250" i="4"/>
  <c r="K249" i="4"/>
  <c r="J249" i="4"/>
  <c r="I249" i="4"/>
  <c r="H249" i="4"/>
  <c r="G249" i="4"/>
  <c r="K248" i="4"/>
  <c r="J248" i="4"/>
  <c r="I248" i="4"/>
  <c r="H248" i="4"/>
  <c r="G248" i="4"/>
  <c r="K247" i="4"/>
  <c r="J247" i="4"/>
  <c r="I247" i="4"/>
  <c r="H247" i="4"/>
  <c r="G247" i="4"/>
  <c r="K246" i="4"/>
  <c r="J246" i="4"/>
  <c r="I246" i="4"/>
  <c r="H246" i="4"/>
  <c r="G246" i="4"/>
  <c r="K245" i="4"/>
  <c r="J245" i="4"/>
  <c r="I245" i="4"/>
  <c r="H245" i="4"/>
  <c r="G245" i="4"/>
  <c r="K244" i="4"/>
  <c r="J244" i="4"/>
  <c r="I244" i="4"/>
  <c r="H244" i="4"/>
  <c r="G244" i="4"/>
  <c r="K243" i="4"/>
  <c r="J243" i="4"/>
  <c r="I243" i="4"/>
  <c r="H243" i="4"/>
  <c r="G243" i="4"/>
  <c r="K242" i="4"/>
  <c r="J242" i="4"/>
  <c r="I242" i="4"/>
  <c r="H242" i="4"/>
  <c r="G242" i="4"/>
  <c r="K241" i="4"/>
  <c r="J241" i="4"/>
  <c r="I241" i="4"/>
  <c r="H241" i="4"/>
  <c r="G241" i="4"/>
  <c r="K240" i="4"/>
  <c r="J240" i="4"/>
  <c r="I240" i="4"/>
  <c r="H240" i="4"/>
  <c r="G240" i="4"/>
  <c r="K239" i="4"/>
  <c r="J239" i="4"/>
  <c r="I239" i="4"/>
  <c r="H239" i="4"/>
  <c r="G239" i="4"/>
  <c r="K238" i="4"/>
  <c r="J238" i="4"/>
  <c r="I238" i="4"/>
  <c r="H238" i="4"/>
  <c r="G238" i="4"/>
  <c r="K237" i="4"/>
  <c r="J237" i="4"/>
  <c r="I237" i="4"/>
  <c r="H237" i="4"/>
  <c r="G237" i="4"/>
  <c r="K236" i="4"/>
  <c r="J236" i="4"/>
  <c r="I236" i="4"/>
  <c r="H236" i="4"/>
  <c r="G236" i="4"/>
  <c r="K235" i="4"/>
  <c r="J235" i="4"/>
  <c r="I235" i="4"/>
  <c r="H235" i="4"/>
  <c r="G235" i="4"/>
  <c r="K234" i="4"/>
  <c r="J234" i="4"/>
  <c r="I234" i="4"/>
  <c r="H234" i="4"/>
  <c r="G234" i="4"/>
  <c r="K233" i="4"/>
  <c r="J233" i="4"/>
  <c r="I233" i="4"/>
  <c r="H233" i="4"/>
  <c r="G233" i="4"/>
  <c r="K232" i="4"/>
  <c r="J232" i="4"/>
  <c r="I232" i="4"/>
  <c r="H232" i="4"/>
  <c r="G232" i="4"/>
  <c r="K231" i="4"/>
  <c r="J231" i="4"/>
  <c r="I231" i="4"/>
  <c r="H231" i="4"/>
  <c r="G231" i="4"/>
  <c r="K230" i="4"/>
  <c r="J230" i="4"/>
  <c r="I230" i="4"/>
  <c r="H230" i="4"/>
  <c r="G230" i="4"/>
  <c r="K229" i="4"/>
  <c r="J229" i="4"/>
  <c r="I229" i="4"/>
  <c r="H229" i="4"/>
  <c r="G229" i="4"/>
  <c r="K228" i="4"/>
  <c r="J228" i="4"/>
  <c r="I228" i="4"/>
  <c r="H228" i="4"/>
  <c r="G228" i="4"/>
  <c r="K227" i="4"/>
  <c r="J227" i="4"/>
  <c r="I227" i="4"/>
  <c r="H227" i="4"/>
  <c r="G227" i="4"/>
  <c r="K226" i="4"/>
  <c r="J226" i="4"/>
  <c r="I226" i="4"/>
  <c r="H226" i="4"/>
  <c r="G226" i="4"/>
  <c r="K225" i="4"/>
  <c r="J225" i="4"/>
  <c r="I225" i="4"/>
  <c r="H225" i="4"/>
  <c r="G225" i="4"/>
  <c r="K224" i="4"/>
  <c r="J224" i="4"/>
  <c r="I224" i="4"/>
  <c r="H224" i="4"/>
  <c r="G224" i="4"/>
  <c r="K223" i="4"/>
  <c r="J223" i="4"/>
  <c r="I223" i="4"/>
  <c r="H223" i="4"/>
  <c r="G223" i="4"/>
  <c r="K222" i="4"/>
  <c r="J222" i="4"/>
  <c r="I222" i="4"/>
  <c r="H222" i="4"/>
  <c r="G222" i="4"/>
  <c r="K221" i="4"/>
  <c r="J221" i="4"/>
  <c r="I221" i="4"/>
  <c r="H221" i="4"/>
  <c r="G221" i="4"/>
  <c r="K220" i="4"/>
  <c r="J220" i="4"/>
  <c r="I220" i="4"/>
  <c r="H220" i="4"/>
  <c r="G220" i="4"/>
  <c r="K219" i="4"/>
  <c r="J219" i="4"/>
  <c r="I219" i="4"/>
  <c r="H219" i="4"/>
  <c r="G219" i="4"/>
  <c r="K218" i="4"/>
  <c r="J218" i="4"/>
  <c r="I218" i="4"/>
  <c r="H218" i="4"/>
  <c r="G218" i="4"/>
  <c r="K217" i="4"/>
  <c r="J217" i="4"/>
  <c r="I217" i="4"/>
  <c r="H217" i="4"/>
  <c r="G217" i="4"/>
  <c r="K216" i="4"/>
  <c r="J216" i="4"/>
  <c r="I216" i="4"/>
  <c r="H216" i="4"/>
  <c r="G216" i="4"/>
  <c r="K215" i="4"/>
  <c r="J215" i="4"/>
  <c r="I215" i="4"/>
  <c r="H215" i="4"/>
  <c r="G215" i="4"/>
  <c r="K214" i="4"/>
  <c r="J214" i="4"/>
  <c r="I214" i="4"/>
  <c r="H214" i="4"/>
  <c r="G214" i="4"/>
  <c r="K213" i="4"/>
  <c r="J213" i="4"/>
  <c r="I213" i="4"/>
  <c r="H213" i="4"/>
  <c r="G213" i="4"/>
  <c r="K212" i="4"/>
  <c r="J212" i="4"/>
  <c r="I212" i="4"/>
  <c r="H212" i="4"/>
  <c r="G212" i="4"/>
  <c r="K211" i="4"/>
  <c r="J211" i="4"/>
  <c r="I211" i="4"/>
  <c r="H211" i="4"/>
  <c r="G211" i="4"/>
  <c r="K210" i="4"/>
  <c r="J210" i="4"/>
  <c r="I210" i="4"/>
  <c r="H210" i="4"/>
  <c r="G210" i="4"/>
  <c r="K209" i="4"/>
  <c r="J209" i="4"/>
  <c r="I209" i="4"/>
  <c r="H209" i="4"/>
  <c r="G209" i="4"/>
  <c r="K208" i="4"/>
  <c r="J208" i="4"/>
  <c r="I208" i="4"/>
  <c r="H208" i="4"/>
  <c r="G208" i="4"/>
  <c r="K207" i="4"/>
  <c r="J207" i="4"/>
  <c r="I207" i="4"/>
  <c r="H207" i="4"/>
  <c r="G207" i="4"/>
  <c r="K206" i="4"/>
  <c r="J206" i="4"/>
  <c r="I206" i="4"/>
  <c r="H206" i="4"/>
  <c r="G206" i="4"/>
  <c r="K205" i="4"/>
  <c r="J205" i="4"/>
  <c r="I205" i="4"/>
  <c r="H205" i="4"/>
  <c r="G205" i="4"/>
  <c r="K204" i="4"/>
  <c r="J204" i="4"/>
  <c r="I204" i="4"/>
  <c r="H204" i="4"/>
  <c r="G204" i="4"/>
  <c r="K203" i="4"/>
  <c r="J203" i="4"/>
  <c r="I203" i="4"/>
  <c r="H203" i="4"/>
  <c r="G203" i="4"/>
  <c r="K202" i="4"/>
  <c r="J202" i="4"/>
  <c r="I202" i="4"/>
  <c r="H202" i="4"/>
  <c r="G202" i="4"/>
  <c r="K201" i="4"/>
  <c r="J201" i="4"/>
  <c r="I201" i="4"/>
  <c r="H201" i="4"/>
  <c r="G201" i="4"/>
  <c r="K200" i="4"/>
  <c r="J200" i="4"/>
  <c r="I200" i="4"/>
  <c r="H200" i="4"/>
  <c r="G200" i="4"/>
  <c r="K199" i="4"/>
  <c r="J199" i="4"/>
  <c r="I199" i="4"/>
  <c r="H199" i="4"/>
  <c r="G199" i="4"/>
  <c r="K198" i="4"/>
  <c r="J198" i="4"/>
  <c r="I198" i="4"/>
  <c r="H198" i="4"/>
  <c r="G198" i="4"/>
  <c r="K197" i="4"/>
  <c r="J197" i="4"/>
  <c r="I197" i="4"/>
  <c r="H197" i="4"/>
  <c r="G197" i="4"/>
  <c r="K196" i="4"/>
  <c r="J196" i="4"/>
  <c r="I196" i="4"/>
  <c r="H196" i="4"/>
  <c r="G196" i="4"/>
  <c r="K195" i="4"/>
  <c r="J195" i="4"/>
  <c r="I195" i="4"/>
  <c r="H195" i="4"/>
  <c r="G195" i="4"/>
  <c r="K194" i="4"/>
  <c r="J194" i="4"/>
  <c r="I194" i="4"/>
  <c r="H194" i="4"/>
  <c r="G194" i="4"/>
  <c r="K193" i="4"/>
  <c r="J193" i="4"/>
  <c r="I193" i="4"/>
  <c r="H193" i="4"/>
  <c r="G193" i="4"/>
  <c r="K192" i="4"/>
  <c r="J192" i="4"/>
  <c r="I192" i="4"/>
  <c r="H192" i="4"/>
  <c r="G192" i="4"/>
  <c r="K191" i="4"/>
  <c r="J191" i="4"/>
  <c r="I191" i="4"/>
  <c r="H191" i="4"/>
  <c r="G191" i="4"/>
  <c r="K190" i="4"/>
  <c r="J190" i="4"/>
  <c r="I190" i="4"/>
  <c r="H190" i="4"/>
  <c r="G190" i="4"/>
  <c r="K189" i="4"/>
  <c r="J189" i="4"/>
  <c r="I189" i="4"/>
  <c r="H189" i="4"/>
  <c r="G189" i="4"/>
  <c r="K188" i="4"/>
  <c r="J188" i="4"/>
  <c r="I188" i="4"/>
  <c r="H188" i="4"/>
  <c r="G188" i="4"/>
  <c r="K187" i="4"/>
  <c r="J187" i="4"/>
  <c r="I187" i="4"/>
  <c r="H187" i="4"/>
  <c r="G187" i="4"/>
  <c r="K186" i="4"/>
  <c r="J186" i="4"/>
  <c r="I186" i="4"/>
  <c r="H186" i="4"/>
  <c r="G186" i="4"/>
  <c r="K185" i="4"/>
  <c r="J185" i="4"/>
  <c r="I185" i="4"/>
  <c r="H185" i="4"/>
  <c r="G185" i="4"/>
  <c r="K184" i="4"/>
  <c r="J184" i="4"/>
  <c r="I184" i="4"/>
  <c r="H184" i="4"/>
  <c r="G184" i="4"/>
  <c r="K183" i="4"/>
  <c r="J183" i="4"/>
  <c r="I183" i="4"/>
  <c r="H183" i="4"/>
  <c r="G183" i="4"/>
  <c r="K182" i="4"/>
  <c r="J182" i="4"/>
  <c r="I182" i="4"/>
  <c r="H182" i="4"/>
  <c r="G182" i="4"/>
  <c r="K181" i="4"/>
  <c r="J181" i="4"/>
  <c r="I181" i="4"/>
  <c r="H181" i="4"/>
  <c r="G181" i="4"/>
  <c r="K180" i="4"/>
  <c r="J180" i="4"/>
  <c r="I180" i="4"/>
  <c r="H180" i="4"/>
  <c r="G180" i="4"/>
  <c r="K179" i="4"/>
  <c r="J179" i="4"/>
  <c r="I179" i="4"/>
  <c r="H179" i="4"/>
  <c r="G179" i="4"/>
  <c r="K178" i="4"/>
  <c r="J178" i="4"/>
  <c r="I178" i="4"/>
  <c r="H178" i="4"/>
  <c r="G178" i="4"/>
  <c r="K177" i="4"/>
  <c r="J177" i="4"/>
  <c r="I177" i="4"/>
  <c r="H177" i="4"/>
  <c r="G177" i="4"/>
  <c r="K176" i="4"/>
  <c r="J176" i="4"/>
  <c r="I176" i="4"/>
  <c r="H176" i="4"/>
  <c r="G176" i="4"/>
  <c r="K175" i="4"/>
  <c r="J175" i="4"/>
  <c r="I175" i="4"/>
  <c r="H175" i="4"/>
  <c r="G175" i="4"/>
  <c r="K174" i="4"/>
  <c r="J174" i="4"/>
  <c r="I174" i="4"/>
  <c r="H174" i="4"/>
  <c r="G174" i="4"/>
  <c r="K173" i="4"/>
  <c r="J173" i="4"/>
  <c r="I173" i="4"/>
  <c r="H173" i="4"/>
  <c r="G173" i="4"/>
  <c r="K172" i="4"/>
  <c r="J172" i="4"/>
  <c r="I172" i="4"/>
  <c r="H172" i="4"/>
  <c r="G172" i="4"/>
  <c r="K171" i="4"/>
  <c r="J171" i="4"/>
  <c r="I171" i="4"/>
  <c r="H171" i="4"/>
  <c r="G171" i="4"/>
  <c r="K170" i="4"/>
  <c r="J170" i="4"/>
  <c r="I170" i="4"/>
  <c r="H170" i="4"/>
  <c r="G170" i="4"/>
  <c r="K169" i="4"/>
  <c r="J169" i="4"/>
  <c r="I169" i="4"/>
  <c r="H169" i="4"/>
  <c r="G169" i="4"/>
  <c r="K168" i="4"/>
  <c r="J168" i="4"/>
  <c r="I168" i="4"/>
  <c r="H168" i="4"/>
  <c r="G168" i="4"/>
  <c r="K167" i="4"/>
  <c r="J167" i="4"/>
  <c r="I167" i="4"/>
  <c r="H167" i="4"/>
  <c r="G167" i="4"/>
  <c r="K166" i="4"/>
  <c r="J166" i="4"/>
  <c r="I166" i="4"/>
  <c r="H166" i="4"/>
  <c r="G166" i="4"/>
  <c r="K165" i="4"/>
  <c r="J165" i="4"/>
  <c r="I165" i="4"/>
  <c r="H165" i="4"/>
  <c r="G165" i="4"/>
  <c r="K164" i="4"/>
  <c r="J164" i="4"/>
  <c r="I164" i="4"/>
  <c r="H164" i="4"/>
  <c r="G164" i="4"/>
  <c r="K163" i="4"/>
  <c r="J163" i="4"/>
  <c r="I163" i="4"/>
  <c r="H163" i="4"/>
  <c r="G163" i="4"/>
  <c r="K162" i="4"/>
  <c r="J162" i="4"/>
  <c r="I162" i="4"/>
  <c r="H162" i="4"/>
  <c r="G162" i="4"/>
  <c r="K161" i="4"/>
  <c r="J161" i="4"/>
  <c r="I161" i="4"/>
  <c r="H161" i="4"/>
  <c r="G161" i="4"/>
  <c r="K160" i="4"/>
  <c r="J160" i="4"/>
  <c r="I160" i="4"/>
  <c r="H160" i="4"/>
  <c r="G160" i="4"/>
  <c r="K159" i="4"/>
  <c r="J159" i="4"/>
  <c r="I159" i="4"/>
  <c r="H159" i="4"/>
  <c r="G159" i="4"/>
  <c r="K158" i="4"/>
  <c r="J158" i="4"/>
  <c r="I158" i="4"/>
  <c r="H158" i="4"/>
  <c r="G158" i="4"/>
  <c r="K157" i="4"/>
  <c r="J157" i="4"/>
  <c r="I157" i="4"/>
  <c r="H157" i="4"/>
  <c r="G157" i="4"/>
  <c r="K156" i="4"/>
  <c r="J156" i="4"/>
  <c r="I156" i="4"/>
  <c r="H156" i="4"/>
  <c r="G156" i="4"/>
  <c r="K155" i="4"/>
  <c r="J155" i="4"/>
  <c r="I155" i="4"/>
  <c r="H155" i="4"/>
  <c r="G155" i="4"/>
  <c r="K154" i="4"/>
  <c r="J154" i="4"/>
  <c r="I154" i="4"/>
  <c r="H154" i="4"/>
  <c r="G154" i="4"/>
  <c r="K153" i="4"/>
  <c r="J153" i="4"/>
  <c r="I153" i="4"/>
  <c r="H153" i="4"/>
  <c r="G153" i="4"/>
  <c r="K152" i="4"/>
  <c r="J152" i="4"/>
  <c r="I152" i="4"/>
  <c r="H152" i="4"/>
  <c r="G152" i="4"/>
  <c r="K151" i="4"/>
  <c r="J151" i="4"/>
  <c r="I151" i="4"/>
  <c r="H151" i="4"/>
  <c r="G151" i="4"/>
  <c r="K150" i="4"/>
  <c r="J150" i="4"/>
  <c r="I150" i="4"/>
  <c r="H150" i="4"/>
  <c r="G150" i="4"/>
  <c r="K149" i="4"/>
  <c r="J149" i="4"/>
  <c r="I149" i="4"/>
  <c r="H149" i="4"/>
  <c r="G149" i="4"/>
  <c r="K148" i="4"/>
  <c r="J148" i="4"/>
  <c r="I148" i="4"/>
  <c r="H148" i="4"/>
  <c r="G148" i="4"/>
  <c r="K147" i="4"/>
  <c r="J147" i="4"/>
  <c r="I147" i="4"/>
  <c r="H147" i="4"/>
  <c r="G147" i="4"/>
  <c r="K146" i="4"/>
  <c r="J146" i="4"/>
  <c r="I146" i="4"/>
  <c r="H146" i="4"/>
  <c r="G146" i="4"/>
  <c r="K145" i="4"/>
  <c r="J145" i="4"/>
  <c r="I145" i="4"/>
  <c r="H145" i="4"/>
  <c r="G145" i="4"/>
  <c r="K144" i="4"/>
  <c r="J144" i="4"/>
  <c r="I144" i="4"/>
  <c r="H144" i="4"/>
  <c r="G144" i="4"/>
  <c r="K143" i="4"/>
  <c r="J143" i="4"/>
  <c r="I143" i="4"/>
  <c r="H143" i="4"/>
  <c r="G143" i="4"/>
  <c r="K142" i="4"/>
  <c r="J142" i="4"/>
  <c r="I142" i="4"/>
  <c r="H142" i="4"/>
  <c r="G142" i="4"/>
  <c r="K141" i="4"/>
  <c r="J141" i="4"/>
  <c r="I141" i="4"/>
  <c r="H141" i="4"/>
  <c r="G141" i="4"/>
  <c r="K140" i="4"/>
  <c r="J140" i="4"/>
  <c r="I140" i="4"/>
  <c r="H140" i="4"/>
  <c r="G140" i="4"/>
  <c r="K139" i="4"/>
  <c r="J139" i="4"/>
  <c r="I139" i="4"/>
  <c r="H139" i="4"/>
  <c r="G139" i="4"/>
  <c r="K138" i="4"/>
  <c r="J138" i="4"/>
  <c r="I138" i="4"/>
  <c r="H138" i="4"/>
  <c r="G138" i="4"/>
  <c r="K137" i="4"/>
  <c r="J137" i="4"/>
  <c r="I137" i="4"/>
  <c r="H137" i="4"/>
  <c r="G137" i="4"/>
  <c r="K136" i="4"/>
  <c r="J136" i="4"/>
  <c r="I136" i="4"/>
  <c r="H136" i="4"/>
  <c r="G136" i="4"/>
  <c r="K135" i="4"/>
  <c r="J135" i="4"/>
  <c r="I135" i="4"/>
  <c r="H135" i="4"/>
  <c r="G135" i="4"/>
  <c r="K134" i="4"/>
  <c r="J134" i="4"/>
  <c r="I134" i="4"/>
  <c r="H134" i="4"/>
  <c r="G134" i="4"/>
  <c r="K133" i="4"/>
  <c r="J133" i="4"/>
  <c r="I133" i="4"/>
  <c r="H133" i="4"/>
  <c r="G133" i="4"/>
  <c r="K132" i="4"/>
  <c r="J132" i="4"/>
  <c r="I132" i="4"/>
  <c r="H132" i="4"/>
  <c r="G132" i="4"/>
  <c r="K131" i="4"/>
  <c r="J131" i="4"/>
  <c r="I131" i="4"/>
  <c r="H131" i="4"/>
  <c r="G131" i="4"/>
  <c r="K130" i="4"/>
  <c r="J130" i="4"/>
  <c r="I130" i="4"/>
  <c r="H130" i="4"/>
  <c r="G130" i="4"/>
  <c r="K129" i="4"/>
  <c r="J129" i="4"/>
  <c r="I129" i="4"/>
  <c r="H129" i="4"/>
  <c r="G129" i="4"/>
  <c r="K128" i="4"/>
  <c r="J128" i="4"/>
  <c r="I128" i="4"/>
  <c r="H128" i="4"/>
  <c r="G128" i="4"/>
  <c r="K127" i="4"/>
  <c r="J127" i="4"/>
  <c r="I127" i="4"/>
  <c r="H127" i="4"/>
  <c r="G127" i="4"/>
  <c r="K126" i="4"/>
  <c r="J126" i="4"/>
  <c r="I126" i="4"/>
  <c r="H126" i="4"/>
  <c r="G126" i="4"/>
  <c r="K125" i="4"/>
  <c r="J125" i="4"/>
  <c r="I125" i="4"/>
  <c r="H125" i="4"/>
  <c r="G125" i="4"/>
  <c r="K124" i="4"/>
  <c r="J124" i="4"/>
  <c r="I124" i="4"/>
  <c r="H124" i="4"/>
  <c r="G124" i="4"/>
  <c r="K123" i="4"/>
  <c r="J123" i="4"/>
  <c r="I123" i="4"/>
  <c r="H123" i="4"/>
  <c r="G123" i="4"/>
  <c r="K122" i="4"/>
  <c r="J122" i="4"/>
  <c r="I122" i="4"/>
  <c r="H122" i="4"/>
  <c r="G122" i="4"/>
  <c r="K121" i="4"/>
  <c r="J121" i="4"/>
  <c r="I121" i="4"/>
  <c r="H121" i="4"/>
  <c r="G121" i="4"/>
  <c r="K120" i="4"/>
  <c r="J120" i="4"/>
  <c r="I120" i="4"/>
  <c r="H120" i="4"/>
  <c r="G120" i="4"/>
  <c r="K119" i="4"/>
  <c r="J119" i="4"/>
  <c r="I119" i="4"/>
  <c r="H119" i="4"/>
  <c r="G119" i="4"/>
  <c r="K118" i="4"/>
  <c r="J118" i="4"/>
  <c r="I118" i="4"/>
  <c r="H118" i="4"/>
  <c r="G118" i="4"/>
  <c r="K117" i="4"/>
  <c r="J117" i="4"/>
  <c r="I117" i="4"/>
  <c r="H117" i="4"/>
  <c r="G117" i="4"/>
  <c r="K116" i="4"/>
  <c r="J116" i="4"/>
  <c r="I116" i="4"/>
  <c r="H116" i="4"/>
  <c r="G116" i="4"/>
  <c r="K115" i="4"/>
  <c r="J115" i="4"/>
  <c r="I115" i="4"/>
  <c r="H115" i="4"/>
  <c r="G115" i="4"/>
  <c r="K114" i="4"/>
  <c r="J114" i="4"/>
  <c r="I114" i="4"/>
  <c r="H114" i="4"/>
  <c r="G114" i="4"/>
  <c r="K113" i="4"/>
  <c r="J113" i="4"/>
  <c r="I113" i="4"/>
  <c r="H113" i="4"/>
  <c r="G113" i="4"/>
  <c r="K112" i="4"/>
  <c r="J112" i="4"/>
  <c r="I112" i="4"/>
  <c r="H112" i="4"/>
  <c r="G112" i="4"/>
  <c r="K111" i="4"/>
  <c r="J111" i="4"/>
  <c r="I111" i="4"/>
  <c r="H111" i="4"/>
  <c r="G111" i="4"/>
  <c r="K110" i="4"/>
  <c r="J110" i="4"/>
  <c r="I110" i="4"/>
  <c r="H110" i="4"/>
  <c r="G110" i="4"/>
  <c r="K109" i="4"/>
  <c r="J109" i="4"/>
  <c r="I109" i="4"/>
  <c r="H109" i="4"/>
  <c r="G109" i="4"/>
  <c r="K108" i="4"/>
  <c r="J108" i="4"/>
  <c r="I108" i="4"/>
  <c r="H108" i="4"/>
  <c r="G108" i="4"/>
  <c r="K107" i="4"/>
  <c r="J107" i="4"/>
  <c r="I107" i="4"/>
  <c r="H107" i="4"/>
  <c r="G107" i="4"/>
  <c r="K106" i="4"/>
  <c r="J106" i="4"/>
  <c r="I106" i="4"/>
  <c r="H106" i="4"/>
  <c r="G106" i="4"/>
  <c r="K105" i="4"/>
  <c r="J105" i="4"/>
  <c r="I105" i="4"/>
  <c r="H105" i="4"/>
  <c r="G105" i="4"/>
  <c r="K104" i="4"/>
  <c r="J104" i="4"/>
  <c r="I104" i="4"/>
  <c r="H104" i="4"/>
  <c r="G104" i="4"/>
  <c r="K103" i="4"/>
  <c r="J103" i="4"/>
  <c r="I103" i="4"/>
  <c r="H103" i="4"/>
  <c r="G103" i="4"/>
  <c r="K102" i="4"/>
  <c r="J102" i="4"/>
  <c r="I102" i="4"/>
  <c r="H102" i="4"/>
  <c r="G102" i="4"/>
  <c r="K101" i="4"/>
  <c r="J101" i="4"/>
  <c r="I101" i="4"/>
  <c r="H101" i="4"/>
  <c r="G101" i="4"/>
  <c r="K100" i="4"/>
  <c r="J100" i="4"/>
  <c r="I100" i="4"/>
  <c r="H100" i="4"/>
  <c r="G100" i="4"/>
  <c r="K99" i="4"/>
  <c r="J99" i="4"/>
  <c r="I99" i="4"/>
  <c r="H99" i="4"/>
  <c r="G99" i="4"/>
  <c r="K98" i="4"/>
  <c r="J98" i="4"/>
  <c r="I98" i="4"/>
  <c r="H98" i="4"/>
  <c r="G98" i="4"/>
  <c r="K97" i="4"/>
  <c r="J97" i="4"/>
  <c r="I97" i="4"/>
  <c r="H97" i="4"/>
  <c r="G97" i="4"/>
  <c r="K96" i="4"/>
  <c r="J96" i="4"/>
  <c r="I96" i="4"/>
  <c r="H96" i="4"/>
  <c r="G96" i="4"/>
  <c r="K95" i="4"/>
  <c r="J95" i="4"/>
  <c r="I95" i="4"/>
  <c r="H95" i="4"/>
  <c r="G95" i="4"/>
  <c r="K94" i="4"/>
  <c r="J94" i="4"/>
  <c r="I94" i="4"/>
  <c r="H94" i="4"/>
  <c r="G94" i="4"/>
  <c r="K93" i="4"/>
  <c r="J93" i="4"/>
  <c r="I93" i="4"/>
  <c r="H93" i="4"/>
  <c r="G93" i="4"/>
  <c r="K92" i="4"/>
  <c r="J92" i="4"/>
  <c r="I92" i="4"/>
  <c r="H92" i="4"/>
  <c r="G92" i="4"/>
  <c r="K91" i="4"/>
  <c r="J91" i="4"/>
  <c r="I91" i="4"/>
  <c r="H91" i="4"/>
  <c r="G91" i="4"/>
  <c r="K90" i="4"/>
  <c r="J90" i="4"/>
  <c r="I90" i="4"/>
  <c r="H90" i="4"/>
  <c r="G90" i="4"/>
  <c r="K89" i="4"/>
  <c r="J89" i="4"/>
  <c r="I89" i="4"/>
  <c r="H89" i="4"/>
  <c r="G89" i="4"/>
  <c r="K88" i="4"/>
  <c r="J88" i="4"/>
  <c r="I88" i="4"/>
  <c r="H88" i="4"/>
  <c r="G88" i="4"/>
  <c r="K87" i="4"/>
  <c r="J87" i="4"/>
  <c r="I87" i="4"/>
  <c r="H87" i="4"/>
  <c r="G87" i="4"/>
  <c r="K86" i="4"/>
  <c r="J86" i="4"/>
  <c r="I86" i="4"/>
  <c r="H86" i="4"/>
  <c r="G86" i="4"/>
  <c r="K85" i="4"/>
  <c r="J85" i="4"/>
  <c r="I85" i="4"/>
  <c r="H85" i="4"/>
  <c r="G85" i="4"/>
  <c r="K84" i="4"/>
  <c r="J84" i="4"/>
  <c r="I84" i="4"/>
  <c r="H84" i="4"/>
  <c r="G84" i="4"/>
  <c r="K83" i="4"/>
  <c r="J83" i="4"/>
  <c r="I83" i="4"/>
  <c r="H83" i="4"/>
  <c r="G83" i="4"/>
  <c r="K82" i="4"/>
  <c r="J82" i="4"/>
  <c r="I82" i="4"/>
  <c r="H82" i="4"/>
  <c r="G82" i="4"/>
  <c r="K81" i="4"/>
  <c r="J81" i="4"/>
  <c r="I81" i="4"/>
  <c r="H81" i="4"/>
  <c r="G81" i="4"/>
  <c r="K80" i="4"/>
  <c r="J80" i="4"/>
  <c r="I80" i="4"/>
  <c r="H80" i="4"/>
  <c r="G80" i="4"/>
  <c r="K79" i="4"/>
  <c r="J79" i="4"/>
  <c r="I79" i="4"/>
  <c r="H79" i="4"/>
  <c r="G79" i="4"/>
  <c r="K78" i="4"/>
  <c r="J78" i="4"/>
  <c r="I78" i="4"/>
  <c r="H78" i="4"/>
  <c r="G78" i="4"/>
  <c r="K77" i="4"/>
  <c r="J77" i="4"/>
  <c r="I77" i="4"/>
  <c r="H77" i="4"/>
  <c r="G77" i="4"/>
  <c r="K76" i="4"/>
  <c r="J76" i="4"/>
  <c r="I76" i="4"/>
  <c r="H76" i="4"/>
  <c r="G76" i="4"/>
  <c r="K75" i="4"/>
  <c r="J75" i="4"/>
  <c r="I75" i="4"/>
  <c r="H75" i="4"/>
  <c r="G75" i="4"/>
  <c r="K74" i="4"/>
  <c r="J74" i="4"/>
  <c r="I74" i="4"/>
  <c r="H74" i="4"/>
  <c r="G74" i="4"/>
  <c r="K73" i="4"/>
  <c r="J73" i="4"/>
  <c r="I73" i="4"/>
  <c r="H73" i="4"/>
  <c r="G73" i="4"/>
  <c r="K72" i="4"/>
  <c r="J72" i="4"/>
  <c r="I72" i="4"/>
  <c r="H72" i="4"/>
  <c r="G72" i="4"/>
  <c r="K71" i="4"/>
  <c r="J71" i="4"/>
  <c r="I71" i="4"/>
  <c r="H71" i="4"/>
  <c r="G71" i="4"/>
  <c r="K70" i="4"/>
  <c r="J70" i="4"/>
  <c r="I70" i="4"/>
  <c r="H70" i="4"/>
  <c r="G70" i="4"/>
  <c r="K69" i="4"/>
  <c r="J69" i="4"/>
  <c r="I69" i="4"/>
  <c r="H69" i="4"/>
  <c r="G69" i="4"/>
  <c r="K68" i="4"/>
  <c r="J68" i="4"/>
  <c r="I68" i="4"/>
  <c r="H68" i="4"/>
  <c r="G68" i="4"/>
  <c r="K67" i="4"/>
  <c r="J67" i="4"/>
  <c r="I67" i="4"/>
  <c r="H67" i="4"/>
  <c r="G67" i="4"/>
  <c r="K66" i="4"/>
  <c r="J66" i="4"/>
  <c r="I66" i="4"/>
  <c r="H66" i="4"/>
  <c r="G66" i="4"/>
  <c r="K65" i="4"/>
  <c r="J65" i="4"/>
  <c r="I65" i="4"/>
  <c r="H65" i="4"/>
  <c r="G65" i="4"/>
  <c r="K64" i="4"/>
  <c r="J64" i="4"/>
  <c r="I64" i="4"/>
  <c r="H64" i="4"/>
  <c r="G64" i="4"/>
  <c r="K63" i="4"/>
  <c r="J63" i="4"/>
  <c r="I63" i="4"/>
  <c r="H63" i="4"/>
  <c r="G63" i="4"/>
  <c r="K62" i="4"/>
  <c r="J62" i="4"/>
  <c r="I62" i="4"/>
  <c r="H62" i="4"/>
  <c r="G62" i="4"/>
  <c r="K61" i="4"/>
  <c r="J61" i="4"/>
  <c r="I61" i="4"/>
  <c r="H61" i="4"/>
  <c r="G61" i="4"/>
  <c r="K60" i="4"/>
  <c r="J60" i="4"/>
  <c r="I60" i="4"/>
  <c r="H60" i="4"/>
  <c r="G60" i="4"/>
  <c r="K59" i="4"/>
  <c r="J59" i="4"/>
  <c r="I59" i="4"/>
  <c r="H59" i="4"/>
  <c r="G59" i="4"/>
  <c r="K58" i="4"/>
  <c r="J58" i="4"/>
  <c r="I58" i="4"/>
  <c r="H58" i="4"/>
  <c r="G58" i="4"/>
  <c r="K57" i="4"/>
  <c r="J57" i="4"/>
  <c r="I57" i="4"/>
  <c r="H57" i="4"/>
  <c r="G57" i="4"/>
  <c r="K56" i="4"/>
  <c r="J56" i="4"/>
  <c r="I56" i="4"/>
  <c r="H56" i="4"/>
  <c r="G56" i="4"/>
  <c r="K55" i="4"/>
  <c r="J55" i="4"/>
  <c r="I55" i="4"/>
  <c r="H55" i="4"/>
  <c r="G55" i="4"/>
  <c r="K54" i="4"/>
  <c r="J54" i="4"/>
  <c r="I54" i="4"/>
  <c r="H54" i="4"/>
  <c r="G54" i="4"/>
  <c r="K53" i="4"/>
  <c r="J53" i="4"/>
  <c r="I53" i="4"/>
  <c r="H53" i="4"/>
  <c r="G53" i="4"/>
  <c r="K52" i="4"/>
  <c r="J52" i="4"/>
  <c r="I52" i="4"/>
  <c r="H52" i="4"/>
  <c r="G52" i="4"/>
  <c r="K51" i="4"/>
  <c r="J51" i="4"/>
  <c r="I51" i="4"/>
  <c r="H51" i="4"/>
  <c r="G51" i="4"/>
  <c r="K50" i="4"/>
  <c r="J50" i="4"/>
  <c r="I50" i="4"/>
  <c r="H50" i="4"/>
  <c r="G50" i="4"/>
  <c r="K49" i="4"/>
  <c r="J49" i="4"/>
  <c r="I49" i="4"/>
  <c r="H49" i="4"/>
  <c r="G49" i="4"/>
  <c r="K48" i="4"/>
  <c r="J48" i="4"/>
  <c r="I48" i="4"/>
  <c r="H48" i="4"/>
  <c r="G48" i="4"/>
  <c r="K47" i="4"/>
  <c r="J47" i="4"/>
  <c r="I47" i="4"/>
  <c r="H47" i="4"/>
  <c r="G47" i="4"/>
  <c r="K46" i="4"/>
  <c r="J46" i="4"/>
  <c r="I46" i="4"/>
  <c r="H46" i="4"/>
  <c r="G46" i="4"/>
  <c r="K45" i="4"/>
  <c r="J45" i="4"/>
  <c r="I45" i="4"/>
  <c r="H45" i="4"/>
  <c r="G45" i="4"/>
  <c r="K44" i="4"/>
  <c r="J44" i="4"/>
  <c r="I44" i="4"/>
  <c r="H44" i="4"/>
  <c r="G44" i="4"/>
  <c r="K43" i="4"/>
  <c r="J43" i="4"/>
  <c r="I43" i="4"/>
  <c r="H43" i="4"/>
  <c r="G43" i="4"/>
  <c r="K42" i="4"/>
  <c r="J42" i="4"/>
  <c r="I42" i="4"/>
  <c r="H42" i="4"/>
  <c r="G42" i="4"/>
  <c r="K41" i="4"/>
  <c r="J41" i="4"/>
  <c r="I41" i="4"/>
  <c r="H41" i="4"/>
  <c r="G41" i="4"/>
  <c r="K40" i="4"/>
  <c r="J40" i="4"/>
  <c r="I40" i="4"/>
  <c r="H40" i="4"/>
  <c r="G40" i="4"/>
  <c r="K39" i="4"/>
  <c r="J39" i="4"/>
  <c r="I39" i="4"/>
  <c r="H39" i="4"/>
  <c r="G39" i="4"/>
  <c r="K38" i="4"/>
  <c r="J38" i="4"/>
  <c r="I38" i="4"/>
  <c r="H38" i="4"/>
  <c r="G38" i="4"/>
  <c r="K37" i="4"/>
  <c r="J37" i="4"/>
  <c r="I37" i="4"/>
  <c r="H37" i="4"/>
  <c r="G37" i="4"/>
  <c r="K36" i="4"/>
  <c r="J36" i="4"/>
  <c r="I36" i="4"/>
  <c r="H36" i="4"/>
  <c r="G36" i="4"/>
  <c r="K35" i="4"/>
  <c r="J35" i="4"/>
  <c r="I35" i="4"/>
  <c r="H35" i="4"/>
  <c r="G35" i="4"/>
  <c r="K34" i="4"/>
  <c r="J34" i="4"/>
  <c r="I34" i="4"/>
  <c r="H34" i="4"/>
  <c r="G34" i="4"/>
  <c r="K33" i="4"/>
  <c r="J33" i="4"/>
  <c r="I33" i="4"/>
  <c r="H33" i="4"/>
  <c r="G33" i="4"/>
  <c r="K32" i="4"/>
  <c r="J32" i="4"/>
  <c r="I32" i="4"/>
  <c r="H32" i="4"/>
  <c r="G32" i="4"/>
  <c r="K31" i="4"/>
  <c r="J31" i="4"/>
  <c r="I31" i="4"/>
  <c r="H31" i="4"/>
  <c r="G31" i="4"/>
  <c r="K30" i="4"/>
  <c r="J30" i="4"/>
  <c r="I30" i="4"/>
  <c r="H30" i="4"/>
  <c r="G30" i="4"/>
  <c r="K29" i="4"/>
  <c r="J29" i="4"/>
  <c r="I29" i="4"/>
  <c r="H29" i="4"/>
  <c r="G29" i="4"/>
  <c r="K28" i="4"/>
  <c r="J28" i="4"/>
  <c r="I28" i="4"/>
  <c r="H28" i="4"/>
  <c r="G28" i="4"/>
  <c r="K27" i="4"/>
  <c r="J27" i="4"/>
  <c r="I27" i="4"/>
  <c r="H27" i="4"/>
  <c r="G27" i="4"/>
  <c r="K26" i="4"/>
  <c r="J26" i="4"/>
  <c r="I26" i="4"/>
  <c r="H26" i="4"/>
  <c r="G26" i="4"/>
  <c r="K25" i="4"/>
  <c r="J25" i="4"/>
  <c r="I25" i="4"/>
  <c r="H25" i="4"/>
  <c r="G25" i="4"/>
  <c r="K24" i="4"/>
  <c r="J24" i="4"/>
  <c r="I24" i="4"/>
  <c r="H24" i="4"/>
  <c r="G24" i="4"/>
  <c r="K23" i="4"/>
  <c r="J23" i="4"/>
  <c r="I23" i="4"/>
  <c r="H23" i="4"/>
  <c r="G23" i="4"/>
  <c r="K22" i="4"/>
  <c r="J22" i="4"/>
  <c r="I22" i="4"/>
  <c r="H22" i="4"/>
  <c r="G22" i="4"/>
  <c r="K21" i="4"/>
  <c r="J21" i="4"/>
  <c r="I21" i="4"/>
  <c r="H21" i="4"/>
  <c r="G21" i="4"/>
  <c r="K20" i="4"/>
  <c r="J20" i="4"/>
  <c r="I20" i="4"/>
  <c r="H20" i="4"/>
  <c r="G20" i="4"/>
  <c r="K19" i="4"/>
  <c r="J19" i="4"/>
  <c r="I19" i="4"/>
  <c r="H19" i="4"/>
  <c r="G19" i="4"/>
  <c r="K18" i="4"/>
  <c r="J18" i="4"/>
  <c r="I18" i="4"/>
  <c r="H18" i="4"/>
  <c r="G18" i="4"/>
  <c r="K17" i="4"/>
  <c r="J17" i="4"/>
  <c r="I17" i="4"/>
  <c r="H17" i="4"/>
  <c r="G17" i="4"/>
  <c r="K16" i="4"/>
  <c r="J16" i="4"/>
  <c r="I16" i="4"/>
  <c r="H16" i="4"/>
  <c r="G16" i="4"/>
  <c r="K15" i="4"/>
  <c r="J15" i="4"/>
  <c r="I15" i="4"/>
  <c r="H15" i="4"/>
  <c r="G15" i="4"/>
  <c r="K14" i="4"/>
  <c r="J14" i="4"/>
  <c r="I14" i="4"/>
  <c r="H14" i="4"/>
  <c r="G14" i="4"/>
  <c r="K13" i="4"/>
  <c r="J13" i="4"/>
  <c r="I13" i="4"/>
  <c r="H13" i="4"/>
  <c r="G13" i="4"/>
  <c r="K12" i="4"/>
  <c r="J12" i="4"/>
  <c r="I12" i="4"/>
  <c r="H12" i="4"/>
  <c r="G12" i="4"/>
  <c r="K11" i="4"/>
  <c r="J11" i="4"/>
  <c r="I11" i="4"/>
  <c r="H11" i="4"/>
  <c r="G11" i="4"/>
  <c r="K10" i="4"/>
  <c r="J10" i="4"/>
  <c r="I10" i="4"/>
  <c r="H10" i="4"/>
  <c r="G10" i="4"/>
  <c r="K9" i="4"/>
  <c r="J9" i="4"/>
  <c r="I9" i="4"/>
  <c r="H9" i="4"/>
  <c r="G9" i="4"/>
  <c r="K8" i="4"/>
  <c r="J8" i="4"/>
  <c r="I8" i="4"/>
  <c r="H8" i="4"/>
  <c r="G8" i="4"/>
  <c r="K7" i="4"/>
  <c r="J7" i="4"/>
  <c r="I7" i="4"/>
  <c r="H7" i="4"/>
  <c r="G7" i="4"/>
  <c r="K6" i="4"/>
  <c r="J6" i="4"/>
  <c r="I6" i="4"/>
  <c r="H6" i="4"/>
  <c r="G6" i="4"/>
  <c r="K5" i="4"/>
  <c r="J5" i="4"/>
  <c r="I5" i="4"/>
  <c r="H5" i="4"/>
  <c r="G5" i="4"/>
  <c r="K4" i="4"/>
  <c r="J4" i="4"/>
  <c r="I4" i="4"/>
  <c r="H4" i="4"/>
  <c r="G4" i="4"/>
  <c r="K3" i="4"/>
  <c r="J3" i="4"/>
  <c r="I3" i="4"/>
  <c r="H3" i="4"/>
  <c r="G3" i="4"/>
  <c r="K2" i="4"/>
  <c r="J2" i="4"/>
  <c r="I2" i="4"/>
  <c r="H2" i="4"/>
  <c r="G2" i="4"/>
  <c r="F2" i="4" a="1"/>
  <c r="F2" i="4" s="1"/>
  <c r="B1" i="4"/>
  <c r="BM9" i="3"/>
  <c r="BM12" i="3"/>
  <c r="BM13" i="3"/>
  <c r="BM14" i="3"/>
  <c r="BM15" i="3"/>
  <c r="BM16" i="3"/>
  <c r="BL9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N18" i="3"/>
  <c r="BK14" i="3"/>
  <c r="BK13" i="3"/>
  <c r="BK12" i="3"/>
  <c r="BK11" i="3"/>
  <c r="BL11" i="3" s="1"/>
  <c r="BK10" i="3"/>
  <c r="BL10" i="3" s="1"/>
  <c r="BK7" i="3"/>
  <c r="BL7" i="3" s="1"/>
  <c r="BK8" i="3"/>
  <c r="BL8" i="3" s="1"/>
  <c r="BK6" i="3"/>
  <c r="BL6" i="3" s="1"/>
  <c r="BO5" i="3"/>
  <c r="BO6" i="3"/>
  <c r="BO7" i="3"/>
  <c r="BO8" i="3"/>
  <c r="BP8" i="3" s="1"/>
  <c r="BO9" i="3"/>
  <c r="BR9" i="3" s="1"/>
  <c r="BO10" i="3"/>
  <c r="BO11" i="3"/>
  <c r="BO12" i="3"/>
  <c r="BT4" i="3"/>
  <c r="BR10" i="3"/>
  <c r="BR6" i="3"/>
  <c r="BR7" i="3"/>
  <c r="BQ5" i="3"/>
  <c r="BO4" i="3"/>
  <c r="BR4" i="3" s="1"/>
  <c r="BB6" i="3"/>
  <c r="BB10" i="3"/>
  <c r="BB9" i="3"/>
  <c r="BB8" i="3"/>
  <c r="BB7" i="3"/>
  <c r="AU6" i="3"/>
  <c r="AP7" i="3"/>
  <c r="AQ7" i="3" s="1"/>
  <c r="AY10" i="3"/>
  <c r="AY9" i="3"/>
  <c r="AY8" i="3"/>
  <c r="AY7" i="3"/>
  <c r="AY6" i="3"/>
  <c r="AX10" i="3"/>
  <c r="AX9" i="3"/>
  <c r="AX8" i="3"/>
  <c r="AX7" i="3"/>
  <c r="AX6" i="3"/>
  <c r="AW10" i="3"/>
  <c r="AW9" i="3"/>
  <c r="AW8" i="3"/>
  <c r="AW7" i="3"/>
  <c r="AV10" i="3"/>
  <c r="AV9" i="3"/>
  <c r="AV8" i="3"/>
  <c r="AV6" i="3"/>
  <c r="AU10" i="3"/>
  <c r="AU9" i="3"/>
  <c r="AU8" i="3"/>
  <c r="AT10" i="3"/>
  <c r="AT9" i="3"/>
  <c r="AT8" i="3"/>
  <c r="AT6" i="3"/>
  <c r="AS10" i="3"/>
  <c r="AS9" i="3"/>
  <c r="AS8" i="3"/>
  <c r="AS6" i="3"/>
  <c r="AR10" i="3"/>
  <c r="AR9" i="3"/>
  <c r="AR8" i="3"/>
  <c r="AR7" i="3"/>
  <c r="AR6" i="3"/>
  <c r="AL10" i="3"/>
  <c r="AL9" i="3"/>
  <c r="AL8" i="3"/>
  <c r="AL7" i="3"/>
  <c r="AL6" i="3"/>
  <c r="AQ10" i="3"/>
  <c r="AQ9" i="3"/>
  <c r="AQ8" i="3"/>
  <c r="AQ6" i="3"/>
  <c r="AP10" i="3"/>
  <c r="AP9" i="3"/>
  <c r="AP8" i="3"/>
  <c r="AP6" i="3"/>
  <c r="AO10" i="3"/>
  <c r="AO9" i="3"/>
  <c r="AO8" i="3"/>
  <c r="AO7" i="3"/>
  <c r="AO6" i="3"/>
  <c r="AN10" i="3"/>
  <c r="AN9" i="3"/>
  <c r="AN8" i="3"/>
  <c r="AN7" i="3"/>
  <c r="AN6" i="3"/>
  <c r="AM10" i="3"/>
  <c r="AM9" i="3"/>
  <c r="AM8" i="3"/>
  <c r="AM7" i="3"/>
  <c r="AM6" i="3"/>
  <c r="AK10" i="3"/>
  <c r="AK9" i="3"/>
  <c r="AK8" i="3"/>
  <c r="AK7" i="3"/>
  <c r="AK6" i="3"/>
  <c r="AJ10" i="3"/>
  <c r="AJ9" i="3"/>
  <c r="AJ8" i="3"/>
  <c r="AJ7" i="3"/>
  <c r="AJ6" i="3"/>
  <c r="AI10" i="3"/>
  <c r="AI9" i="3"/>
  <c r="AI8" i="3"/>
  <c r="AI7" i="3"/>
  <c r="AI6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N5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AA6" i="3"/>
  <c r="AC6" i="3"/>
  <c r="AA7" i="3"/>
  <c r="AC7" i="3"/>
  <c r="AA8" i="3"/>
  <c r="AC8" i="3"/>
  <c r="AA9" i="3"/>
  <c r="AC9" i="3"/>
  <c r="AA10" i="3"/>
  <c r="AC10" i="3"/>
  <c r="AA11" i="3"/>
  <c r="AC11" i="3"/>
  <c r="AA12" i="3"/>
  <c r="AC12" i="3"/>
  <c r="AA13" i="3"/>
  <c r="AC13" i="3"/>
  <c r="AA14" i="3"/>
  <c r="AC14" i="3"/>
  <c r="AA15" i="3"/>
  <c r="AC15" i="3"/>
  <c r="AA16" i="3"/>
  <c r="AC16" i="3"/>
  <c r="AA17" i="3"/>
  <c r="AC17" i="3"/>
  <c r="AA18" i="3"/>
  <c r="AC18" i="3"/>
  <c r="AA19" i="3"/>
  <c r="AC19" i="3"/>
  <c r="AA20" i="3"/>
  <c r="AC20" i="3"/>
  <c r="AA21" i="3"/>
  <c r="AC21" i="3"/>
  <c r="AA22" i="3"/>
  <c r="AC22" i="3"/>
  <c r="AA23" i="3"/>
  <c r="AA24" i="3"/>
  <c r="AC24" i="3"/>
  <c r="AA25" i="3"/>
  <c r="AC25" i="3"/>
  <c r="AA26" i="3"/>
  <c r="U6" i="3"/>
  <c r="W6" i="3"/>
  <c r="U7" i="3"/>
  <c r="W7" i="3"/>
  <c r="U8" i="3"/>
  <c r="W8" i="3"/>
  <c r="U9" i="3"/>
  <c r="W9" i="3"/>
  <c r="U10" i="3" a="1"/>
  <c r="U10" i="3" s="1"/>
  <c r="W10" i="3"/>
  <c r="U11" i="3"/>
  <c r="W11" i="3"/>
  <c r="U12" i="3"/>
  <c r="W12" i="3"/>
  <c r="U13" i="3"/>
  <c r="W13" i="3"/>
  <c r="U14" i="3"/>
  <c r="W14" i="3"/>
  <c r="U15" i="3"/>
  <c r="W15" i="3"/>
  <c r="U16" i="3"/>
  <c r="W16" i="3"/>
  <c r="U17" i="3"/>
  <c r="W17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E2" i="1"/>
  <c r="C3" i="1"/>
  <c r="D3" i="1" s="1"/>
  <c r="D4" i="1"/>
  <c r="D5" i="1"/>
  <c r="D6" i="1"/>
  <c r="D7" i="1"/>
  <c r="D8" i="1"/>
  <c r="D9" i="1"/>
  <c r="D10" i="1"/>
  <c r="D11" i="1"/>
  <c r="D12" i="1"/>
  <c r="D13" i="1"/>
  <c r="D14" i="1"/>
  <c r="D15" i="1"/>
  <c r="C4" i="1"/>
  <c r="C5" i="1"/>
  <c r="C6" i="1"/>
  <c r="C7" i="1"/>
  <c r="C8" i="1"/>
  <c r="C9" i="1"/>
  <c r="C10" i="1"/>
  <c r="C11" i="1"/>
  <c r="C12" i="1"/>
  <c r="C13" i="1"/>
  <c r="C14" i="1"/>
  <c r="C15" i="1"/>
  <c r="D4" i="4" l="1"/>
  <c r="B259" i="4"/>
  <c r="C187" i="4"/>
  <c r="M189" i="4"/>
  <c r="M85" i="4"/>
  <c r="E260" i="4"/>
  <c r="C122" i="4"/>
  <c r="E228" i="4"/>
  <c r="B20" i="4"/>
  <c r="B267" i="4"/>
  <c r="M15" i="4"/>
  <c r="M229" i="4"/>
  <c r="D19" i="4"/>
  <c r="C99" i="4"/>
  <c r="E268" i="4"/>
  <c r="M21" i="4"/>
  <c r="M277" i="4"/>
  <c r="D100" i="4"/>
  <c r="M2" i="4"/>
  <c r="M119" i="4"/>
  <c r="M278" i="4"/>
  <c r="M31" i="4"/>
  <c r="M69" i="4"/>
  <c r="M94" i="4"/>
  <c r="M125" i="4"/>
  <c r="M206" i="4"/>
  <c r="M246" i="4"/>
  <c r="M279" i="4"/>
  <c r="M54" i="4"/>
  <c r="M270" i="4"/>
  <c r="M55" i="4"/>
  <c r="M286" i="4"/>
  <c r="M230" i="4"/>
  <c r="M167" i="4"/>
  <c r="M214" i="4"/>
  <c r="M78" i="4"/>
  <c r="M254" i="4"/>
  <c r="M294" i="4"/>
  <c r="M151" i="4"/>
  <c r="M14" i="4"/>
  <c r="M53" i="4"/>
  <c r="M81" i="4"/>
  <c r="M109" i="4"/>
  <c r="M149" i="4"/>
  <c r="M183" i="4"/>
  <c r="M222" i="4"/>
  <c r="M269" i="4"/>
  <c r="M295" i="4"/>
  <c r="M32" i="4"/>
  <c r="M49" i="4"/>
  <c r="M65" i="4"/>
  <c r="M16" i="4"/>
  <c r="M33" i="4"/>
  <c r="M248" i="4"/>
  <c r="M168" i="4"/>
  <c r="M232" i="4"/>
  <c r="M296" i="4"/>
  <c r="E28" i="4"/>
  <c r="M5" i="4"/>
  <c r="M40" i="4"/>
  <c r="M133" i="4"/>
  <c r="M237" i="4"/>
  <c r="M297" i="4"/>
  <c r="E67" i="4"/>
  <c r="E212" i="4"/>
  <c r="E292" i="4"/>
  <c r="M41" i="4"/>
  <c r="M57" i="4"/>
  <c r="M79" i="4"/>
  <c r="M96" i="4"/>
  <c r="M113" i="4"/>
  <c r="M152" i="4"/>
  <c r="M216" i="4"/>
  <c r="M238" i="4"/>
  <c r="M262" i="4"/>
  <c r="M280" i="4"/>
  <c r="M301" i="4"/>
  <c r="M136" i="4"/>
  <c r="M200" i="4"/>
  <c r="M264" i="4"/>
  <c r="M104" i="4"/>
  <c r="M120" i="4"/>
  <c r="M17" i="4"/>
  <c r="M105" i="4"/>
  <c r="D27" i="4"/>
  <c r="C203" i="4"/>
  <c r="B211" i="4"/>
  <c r="B291" i="4"/>
  <c r="E83" i="4"/>
  <c r="B227" i="4"/>
  <c r="M13" i="4"/>
  <c r="M45" i="4"/>
  <c r="M80" i="4"/>
  <c r="M97" i="4"/>
  <c r="M135" i="4"/>
  <c r="M157" i="4"/>
  <c r="M199" i="4"/>
  <c r="M263" i="4"/>
  <c r="M285" i="4"/>
  <c r="M302" i="4"/>
  <c r="M7" i="4"/>
  <c r="M8" i="4"/>
  <c r="M72" i="4"/>
  <c r="E121" i="4"/>
  <c r="M121" i="4"/>
  <c r="E129" i="4"/>
  <c r="M129" i="4"/>
  <c r="D137" i="4"/>
  <c r="M137" i="4"/>
  <c r="E153" i="4"/>
  <c r="M153" i="4"/>
  <c r="E161" i="4"/>
  <c r="M161" i="4"/>
  <c r="D169" i="4"/>
  <c r="M169" i="4"/>
  <c r="E185" i="4"/>
  <c r="M185" i="4"/>
  <c r="E193" i="4"/>
  <c r="M193" i="4"/>
  <c r="D201" i="4"/>
  <c r="M201" i="4"/>
  <c r="D209" i="4"/>
  <c r="M209" i="4"/>
  <c r="D217" i="4"/>
  <c r="M217" i="4"/>
  <c r="D225" i="4"/>
  <c r="M225" i="4"/>
  <c r="D233" i="4"/>
  <c r="M233" i="4"/>
  <c r="D241" i="4"/>
  <c r="M241" i="4"/>
  <c r="D249" i="4"/>
  <c r="M249" i="4"/>
  <c r="D257" i="4"/>
  <c r="M257" i="4"/>
  <c r="D265" i="4"/>
  <c r="M265" i="4"/>
  <c r="D273" i="4"/>
  <c r="M273" i="4"/>
  <c r="D281" i="4"/>
  <c r="M281" i="4"/>
  <c r="D289" i="4"/>
  <c r="M289" i="4"/>
  <c r="D305" i="4"/>
  <c r="M305" i="4"/>
  <c r="M9" i="4"/>
  <c r="M23" i="4"/>
  <c r="M48" i="4"/>
  <c r="M73" i="4"/>
  <c r="M143" i="4"/>
  <c r="M175" i="4"/>
  <c r="M271" i="4"/>
  <c r="M287" i="4"/>
  <c r="E18" i="4"/>
  <c r="M18" i="4"/>
  <c r="E26" i="4"/>
  <c r="M26" i="4"/>
  <c r="E34" i="4"/>
  <c r="M34" i="4"/>
  <c r="E42" i="4"/>
  <c r="M42" i="4"/>
  <c r="C66" i="4"/>
  <c r="M66" i="4"/>
  <c r="C146" i="4"/>
  <c r="M146" i="4"/>
  <c r="B154" i="4"/>
  <c r="M154" i="4"/>
  <c r="C178" i="4"/>
  <c r="M178" i="4"/>
  <c r="C186" i="4"/>
  <c r="M186" i="4"/>
  <c r="B218" i="4"/>
  <c r="M218" i="4"/>
  <c r="B234" i="4"/>
  <c r="M234" i="4"/>
  <c r="M24" i="4"/>
  <c r="M63" i="4"/>
  <c r="M128" i="4"/>
  <c r="M144" i="4"/>
  <c r="M160" i="4"/>
  <c r="M176" i="4"/>
  <c r="M192" i="4"/>
  <c r="M208" i="4"/>
  <c r="M224" i="4"/>
  <c r="M240" i="4"/>
  <c r="M256" i="4"/>
  <c r="M272" i="4"/>
  <c r="M288" i="4"/>
  <c r="M303" i="4"/>
  <c r="E10" i="4"/>
  <c r="M10" i="4"/>
  <c r="E58" i="4"/>
  <c r="M58" i="4"/>
  <c r="E74" i="4"/>
  <c r="M74" i="4"/>
  <c r="D82" i="4"/>
  <c r="M82" i="4"/>
  <c r="E90" i="4"/>
  <c r="M90" i="4"/>
  <c r="D98" i="4"/>
  <c r="M98" i="4"/>
  <c r="E106" i="4"/>
  <c r="M106" i="4"/>
  <c r="C130" i="4"/>
  <c r="M130" i="4"/>
  <c r="C162" i="4"/>
  <c r="M162" i="4"/>
  <c r="E3" i="4"/>
  <c r="M3" i="4"/>
  <c r="D11" i="4"/>
  <c r="M11" i="4"/>
  <c r="D35" i="4"/>
  <c r="M35" i="4"/>
  <c r="E43" i="4"/>
  <c r="M43" i="4"/>
  <c r="E51" i="4"/>
  <c r="M51" i="4"/>
  <c r="D59" i="4"/>
  <c r="M59" i="4"/>
  <c r="E75" i="4"/>
  <c r="M75" i="4"/>
  <c r="E91" i="4"/>
  <c r="M91" i="4"/>
  <c r="E107" i="4"/>
  <c r="M107" i="4"/>
  <c r="B115" i="4"/>
  <c r="M115" i="4"/>
  <c r="M123" i="4"/>
  <c r="C123" i="4"/>
  <c r="B131" i="4"/>
  <c r="M131" i="4"/>
  <c r="M139" i="4"/>
  <c r="C139" i="4"/>
  <c r="C147" i="4"/>
  <c r="M147" i="4"/>
  <c r="C155" i="4"/>
  <c r="M155" i="4"/>
  <c r="B163" i="4"/>
  <c r="M163" i="4"/>
  <c r="C171" i="4"/>
  <c r="M171" i="4"/>
  <c r="C179" i="4"/>
  <c r="M179" i="4"/>
  <c r="B195" i="4"/>
  <c r="M195" i="4"/>
  <c r="B219" i="4"/>
  <c r="M219" i="4"/>
  <c r="B235" i="4"/>
  <c r="M235" i="4"/>
  <c r="M243" i="4"/>
  <c r="B243" i="4"/>
  <c r="B251" i="4"/>
  <c r="M251" i="4"/>
  <c r="B275" i="4"/>
  <c r="M275" i="4"/>
  <c r="B283" i="4"/>
  <c r="M283" i="4"/>
  <c r="M299" i="4"/>
  <c r="B299" i="4"/>
  <c r="B307" i="4"/>
  <c r="M307" i="4"/>
  <c r="M25" i="4"/>
  <c r="M39" i="4"/>
  <c r="M64" i="4"/>
  <c r="M89" i="4"/>
  <c r="M103" i="4"/>
  <c r="M304" i="4"/>
  <c r="D44" i="4"/>
  <c r="E60" i="4"/>
  <c r="E244" i="4"/>
  <c r="E300" i="4"/>
  <c r="M36" i="4"/>
  <c r="M76" i="4"/>
  <c r="M132" i="4"/>
  <c r="M172" i="4"/>
  <c r="M196" i="4"/>
  <c r="M220" i="4"/>
  <c r="M236" i="4"/>
  <c r="M252" i="4"/>
  <c r="M276" i="4"/>
  <c r="M284" i="4"/>
  <c r="M308" i="4"/>
  <c r="D286" i="4"/>
  <c r="E233" i="4"/>
  <c r="D227" i="4"/>
  <c r="C243" i="4"/>
  <c r="B224" i="4"/>
  <c r="E259" i="4"/>
  <c r="C264" i="4"/>
  <c r="E209" i="4"/>
  <c r="E224" i="4"/>
  <c r="E211" i="4"/>
  <c r="C302" i="4"/>
  <c r="B208" i="4"/>
  <c r="E230" i="4"/>
  <c r="B256" i="4"/>
  <c r="D208" i="4"/>
  <c r="D256" i="4"/>
  <c r="E208" i="4"/>
  <c r="C238" i="4"/>
  <c r="D251" i="4"/>
  <c r="E256" i="4"/>
  <c r="D222" i="4"/>
  <c r="C227" i="4"/>
  <c r="E238" i="4"/>
  <c r="C299" i="4"/>
  <c r="B280" i="4"/>
  <c r="D294" i="4"/>
  <c r="D219" i="4"/>
  <c r="B232" i="4"/>
  <c r="C248" i="4"/>
  <c r="B254" i="4"/>
  <c r="E286" i="4"/>
  <c r="D302" i="4"/>
  <c r="C232" i="4"/>
  <c r="C254" i="4"/>
  <c r="D272" i="4"/>
  <c r="C278" i="4"/>
  <c r="C283" i="4"/>
  <c r="C294" i="4"/>
  <c r="C224" i="4"/>
  <c r="D232" i="4"/>
  <c r="B240" i="4"/>
  <c r="E243" i="4"/>
  <c r="D254" i="4"/>
  <c r="E257" i="4"/>
  <c r="D240" i="4"/>
  <c r="B270" i="4"/>
  <c r="D299" i="4"/>
  <c r="E304" i="4"/>
  <c r="C211" i="4"/>
  <c r="E217" i="4"/>
  <c r="B222" i="4"/>
  <c r="B230" i="4"/>
  <c r="B238" i="4"/>
  <c r="E240" i="4"/>
  <c r="C270" i="4"/>
  <c r="C259" i="4"/>
  <c r="D270" i="4"/>
  <c r="E275" i="4"/>
  <c r="E280" i="4"/>
  <c r="B286" i="4"/>
  <c r="B296" i="4"/>
  <c r="E222" i="4"/>
  <c r="E241" i="4"/>
  <c r="E296" i="4"/>
  <c r="B214" i="4"/>
  <c r="E216" i="4"/>
  <c r="E219" i="4"/>
  <c r="D230" i="4"/>
  <c r="B246" i="4"/>
  <c r="D248" i="4"/>
  <c r="E251" i="4"/>
  <c r="B262" i="4"/>
  <c r="D264" i="4"/>
  <c r="E267" i="4"/>
  <c r="E273" i="4"/>
  <c r="C280" i="4"/>
  <c r="D283" i="4"/>
  <c r="E289" i="4"/>
  <c r="C296" i="4"/>
  <c r="D214" i="4"/>
  <c r="C246" i="4"/>
  <c r="E248" i="4"/>
  <c r="C262" i="4"/>
  <c r="E264" i="4"/>
  <c r="B278" i="4"/>
  <c r="E283" i="4"/>
  <c r="B294" i="4"/>
  <c r="E299" i="4"/>
  <c r="E302" i="4"/>
  <c r="E305" i="4"/>
  <c r="E214" i="4"/>
  <c r="D246" i="4"/>
  <c r="D262" i="4"/>
  <c r="D211" i="4"/>
  <c r="E227" i="4"/>
  <c r="D243" i="4"/>
  <c r="E249" i="4"/>
  <c r="D259" i="4"/>
  <c r="E265" i="4"/>
  <c r="B272" i="4"/>
  <c r="C275" i="4"/>
  <c r="D278" i="4"/>
  <c r="B288" i="4"/>
  <c r="C291" i="4"/>
  <c r="C272" i="4"/>
  <c r="D275" i="4"/>
  <c r="E281" i="4"/>
  <c r="C288" i="4"/>
  <c r="D291" i="4"/>
  <c r="E297" i="4"/>
  <c r="B304" i="4"/>
  <c r="C307" i="4"/>
  <c r="B216" i="4"/>
  <c r="C235" i="4"/>
  <c r="D288" i="4"/>
  <c r="E291" i="4"/>
  <c r="C304" i="4"/>
  <c r="D307" i="4"/>
  <c r="C216" i="4"/>
  <c r="C219" i="4"/>
  <c r="E225" i="4"/>
  <c r="D235" i="4"/>
  <c r="C251" i="4"/>
  <c r="C267" i="4"/>
  <c r="E307" i="4"/>
  <c r="E235" i="4"/>
  <c r="D267" i="4"/>
  <c r="C223" i="4"/>
  <c r="B223" i="4"/>
  <c r="E223" i="4"/>
  <c r="D223" i="4"/>
  <c r="D226" i="4"/>
  <c r="C226" i="4"/>
  <c r="E226" i="4"/>
  <c r="B229" i="4"/>
  <c r="C266" i="4"/>
  <c r="B266" i="4"/>
  <c r="D266" i="4"/>
  <c r="E266" i="4"/>
  <c r="D221" i="4"/>
  <c r="E221" i="4"/>
  <c r="B226" i="4"/>
  <c r="E261" i="4"/>
  <c r="D261" i="4"/>
  <c r="C261" i="4"/>
  <c r="C306" i="4"/>
  <c r="B306" i="4"/>
  <c r="E306" i="4"/>
  <c r="D306" i="4"/>
  <c r="E215" i="4"/>
  <c r="C215" i="4"/>
  <c r="B215" i="4"/>
  <c r="D215" i="4"/>
  <c r="D218" i="4"/>
  <c r="E218" i="4"/>
  <c r="C218" i="4"/>
  <c r="B221" i="4"/>
  <c r="B261" i="4"/>
  <c r="B282" i="4"/>
  <c r="D282" i="4"/>
  <c r="C282" i="4"/>
  <c r="E282" i="4"/>
  <c r="D301" i="4"/>
  <c r="C301" i="4"/>
  <c r="E301" i="4"/>
  <c r="E229" i="4"/>
  <c r="D229" i="4"/>
  <c r="C258" i="4"/>
  <c r="E258" i="4"/>
  <c r="D258" i="4"/>
  <c r="B258" i="4"/>
  <c r="E245" i="4"/>
  <c r="D245" i="4"/>
  <c r="C250" i="4"/>
  <c r="D250" i="4"/>
  <c r="E250" i="4"/>
  <c r="C298" i="4"/>
  <c r="B298" i="4"/>
  <c r="E298" i="4"/>
  <c r="D298" i="4"/>
  <c r="D285" i="4"/>
  <c r="E285" i="4"/>
  <c r="C285" i="4"/>
  <c r="E213" i="4"/>
  <c r="D213" i="4"/>
  <c r="C221" i="4"/>
  <c r="E253" i="4"/>
  <c r="D253" i="4"/>
  <c r="C210" i="4"/>
  <c r="E210" i="4"/>
  <c r="D210" i="4"/>
  <c r="B213" i="4"/>
  <c r="C247" i="4"/>
  <c r="E247" i="4"/>
  <c r="D247" i="4"/>
  <c r="B247" i="4"/>
  <c r="B253" i="4"/>
  <c r="B210" i="4"/>
  <c r="C213" i="4"/>
  <c r="E237" i="4"/>
  <c r="D237" i="4"/>
  <c r="E239" i="4"/>
  <c r="C239" i="4"/>
  <c r="D239" i="4"/>
  <c r="B239" i="4"/>
  <c r="D242" i="4"/>
  <c r="C242" i="4"/>
  <c r="E242" i="4"/>
  <c r="B245" i="4"/>
  <c r="B250" i="4"/>
  <c r="C253" i="4"/>
  <c r="B274" i="4"/>
  <c r="D274" i="4"/>
  <c r="E274" i="4"/>
  <c r="C274" i="4"/>
  <c r="D293" i="4"/>
  <c r="C293" i="4"/>
  <c r="E293" i="4"/>
  <c r="B290" i="4"/>
  <c r="D290" i="4"/>
  <c r="E290" i="4"/>
  <c r="C290" i="4"/>
  <c r="E255" i="4"/>
  <c r="D255" i="4"/>
  <c r="C255" i="4"/>
  <c r="B255" i="4"/>
  <c r="E277" i="4"/>
  <c r="D277" i="4"/>
  <c r="C277" i="4"/>
  <c r="E207" i="4"/>
  <c r="C207" i="4"/>
  <c r="D207" i="4"/>
  <c r="B207" i="4"/>
  <c r="E231" i="4"/>
  <c r="B231" i="4"/>
  <c r="D231" i="4"/>
  <c r="C231" i="4"/>
  <c r="C234" i="4"/>
  <c r="E234" i="4"/>
  <c r="D234" i="4"/>
  <c r="B237" i="4"/>
  <c r="B242" i="4"/>
  <c r="C245" i="4"/>
  <c r="E269" i="4"/>
  <c r="C269" i="4"/>
  <c r="D269" i="4"/>
  <c r="B293" i="4"/>
  <c r="B263" i="4"/>
  <c r="B271" i="4"/>
  <c r="B228" i="4"/>
  <c r="B252" i="4"/>
  <c r="C263" i="4"/>
  <c r="B276" i="4"/>
  <c r="C279" i="4"/>
  <c r="B292" i="4"/>
  <c r="C295" i="4"/>
  <c r="B209" i="4"/>
  <c r="C212" i="4"/>
  <c r="B217" i="4"/>
  <c r="C220" i="4"/>
  <c r="B225" i="4"/>
  <c r="C228" i="4"/>
  <c r="B233" i="4"/>
  <c r="C236" i="4"/>
  <c r="B241" i="4"/>
  <c r="C244" i="4"/>
  <c r="B249" i="4"/>
  <c r="C252" i="4"/>
  <c r="B257" i="4"/>
  <c r="C260" i="4"/>
  <c r="D263" i="4"/>
  <c r="B265" i="4"/>
  <c r="C268" i="4"/>
  <c r="D271" i="4"/>
  <c r="B273" i="4"/>
  <c r="C276" i="4"/>
  <c r="D279" i="4"/>
  <c r="B281" i="4"/>
  <c r="C284" i="4"/>
  <c r="D287" i="4"/>
  <c r="B289" i="4"/>
  <c r="C292" i="4"/>
  <c r="D295" i="4"/>
  <c r="B297" i="4"/>
  <c r="C300" i="4"/>
  <c r="D303" i="4"/>
  <c r="B305" i="4"/>
  <c r="C308" i="4"/>
  <c r="B279" i="4"/>
  <c r="B212" i="4"/>
  <c r="B236" i="4"/>
  <c r="C271" i="4"/>
  <c r="B300" i="4"/>
  <c r="C303" i="4"/>
  <c r="B308" i="4"/>
  <c r="C209" i="4"/>
  <c r="D212" i="4"/>
  <c r="C217" i="4"/>
  <c r="D220" i="4"/>
  <c r="C225" i="4"/>
  <c r="D228" i="4"/>
  <c r="C233" i="4"/>
  <c r="D236" i="4"/>
  <c r="C241" i="4"/>
  <c r="D244" i="4"/>
  <c r="C249" i="4"/>
  <c r="D252" i="4"/>
  <c r="C257" i="4"/>
  <c r="D260" i="4"/>
  <c r="C265" i="4"/>
  <c r="D268" i="4"/>
  <c r="C273" i="4"/>
  <c r="D276" i="4"/>
  <c r="C281" i="4"/>
  <c r="D284" i="4"/>
  <c r="E287" i="4"/>
  <c r="C289" i="4"/>
  <c r="D292" i="4"/>
  <c r="E295" i="4"/>
  <c r="C297" i="4"/>
  <c r="D300" i="4"/>
  <c r="E303" i="4"/>
  <c r="C305" i="4"/>
  <c r="D308" i="4"/>
  <c r="B287" i="4"/>
  <c r="B220" i="4"/>
  <c r="B244" i="4"/>
  <c r="B260" i="4"/>
  <c r="B268" i="4"/>
  <c r="B284" i="4"/>
  <c r="B18" i="4"/>
  <c r="B160" i="4"/>
  <c r="C192" i="4"/>
  <c r="C194" i="4"/>
  <c r="B194" i="4"/>
  <c r="B88" i="4"/>
  <c r="C88" i="4"/>
  <c r="E112" i="4"/>
  <c r="C112" i="4"/>
  <c r="C64" i="4"/>
  <c r="D112" i="4"/>
  <c r="B72" i="4"/>
  <c r="C128" i="4"/>
  <c r="B168" i="4"/>
  <c r="B130" i="4"/>
  <c r="E135" i="4"/>
  <c r="B136" i="4"/>
  <c r="D96" i="4"/>
  <c r="D199" i="4"/>
  <c r="C15" i="4"/>
  <c r="B112" i="4"/>
  <c r="C3" i="4"/>
  <c r="D48" i="4"/>
  <c r="C103" i="4"/>
  <c r="B123" i="4"/>
  <c r="B139" i="4"/>
  <c r="B171" i="4"/>
  <c r="B200" i="4"/>
  <c r="C78" i="4"/>
  <c r="C4" i="4"/>
  <c r="C83" i="4"/>
  <c r="D107" i="4"/>
  <c r="C115" i="4"/>
  <c r="B23" i="4"/>
  <c r="B103" i="4"/>
  <c r="D115" i="4"/>
  <c r="E11" i="4"/>
  <c r="B143" i="4"/>
  <c r="B186" i="4"/>
  <c r="D25" i="4"/>
  <c r="E25" i="4"/>
  <c r="B42" i="4"/>
  <c r="C9" i="4"/>
  <c r="B19" i="4"/>
  <c r="B26" i="4"/>
  <c r="B34" i="4"/>
  <c r="C42" i="4"/>
  <c r="C49" i="4"/>
  <c r="C57" i="4"/>
  <c r="D66" i="4"/>
  <c r="C73" i="4"/>
  <c r="B97" i="4"/>
  <c r="E115" i="4"/>
  <c r="C125" i="4"/>
  <c r="D153" i="4"/>
  <c r="D161" i="4"/>
  <c r="B178" i="4"/>
  <c r="B187" i="4"/>
  <c r="D9" i="4"/>
  <c r="B15" i="4"/>
  <c r="E19" i="4"/>
  <c r="D42" i="4"/>
  <c r="B51" i="4"/>
  <c r="D57" i="4"/>
  <c r="B67" i="4"/>
  <c r="D73" i="4"/>
  <c r="C81" i="4"/>
  <c r="C89" i="4"/>
  <c r="C97" i="4"/>
  <c r="D103" i="4"/>
  <c r="D125" i="4"/>
  <c r="C143" i="4"/>
  <c r="B35" i="4"/>
  <c r="D43" i="4"/>
  <c r="C51" i="4"/>
  <c r="E57" i="4"/>
  <c r="C67" i="4"/>
  <c r="E73" i="4"/>
  <c r="D81" i="4"/>
  <c r="C90" i="4"/>
  <c r="D97" i="4"/>
  <c r="E105" i="4"/>
  <c r="D121" i="4"/>
  <c r="B146" i="4"/>
  <c r="B162" i="4"/>
  <c r="B179" i="4"/>
  <c r="B10" i="4"/>
  <c r="C17" i="4"/>
  <c r="C23" i="4"/>
  <c r="E27" i="4"/>
  <c r="E35" i="4"/>
  <c r="D51" i="4"/>
  <c r="B58" i="4"/>
  <c r="D67" i="4"/>
  <c r="D75" i="4"/>
  <c r="C82" i="4"/>
  <c r="D90" i="4"/>
  <c r="C98" i="4"/>
  <c r="B106" i="4"/>
  <c r="B113" i="4"/>
  <c r="C154" i="4"/>
  <c r="D33" i="4"/>
  <c r="B49" i="4"/>
  <c r="D17" i="4"/>
  <c r="D23" i="4"/>
  <c r="D31" i="4"/>
  <c r="B36" i="4"/>
  <c r="B48" i="4"/>
  <c r="C58" i="4"/>
  <c r="D91" i="4"/>
  <c r="D99" i="4"/>
  <c r="C106" i="4"/>
  <c r="C113" i="4"/>
  <c r="B122" i="4"/>
  <c r="D129" i="4"/>
  <c r="B147" i="4"/>
  <c r="B155" i="4"/>
  <c r="D185" i="4"/>
  <c r="D193" i="4"/>
  <c r="B203" i="4"/>
  <c r="E41" i="4"/>
  <c r="E33" i="4"/>
  <c r="E9" i="4"/>
  <c r="B27" i="4"/>
  <c r="B3" i="4"/>
  <c r="B11" i="4"/>
  <c r="E17" i="4"/>
  <c r="C25" i="4"/>
  <c r="C33" i="4"/>
  <c r="B39" i="4"/>
  <c r="C48" i="4"/>
  <c r="B64" i="4"/>
  <c r="E69" i="4"/>
  <c r="B83" i="4"/>
  <c r="E99" i="4"/>
  <c r="D106" i="4"/>
  <c r="E84" i="4"/>
  <c r="C84" i="4"/>
  <c r="B84" i="4"/>
  <c r="E108" i="4"/>
  <c r="C108" i="4"/>
  <c r="B108" i="4"/>
  <c r="E116" i="4"/>
  <c r="C116" i="4"/>
  <c r="B116" i="4"/>
  <c r="D116" i="4"/>
  <c r="E140" i="4"/>
  <c r="D140" i="4"/>
  <c r="C140" i="4"/>
  <c r="E164" i="4"/>
  <c r="D164" i="4"/>
  <c r="E188" i="4"/>
  <c r="D188" i="4"/>
  <c r="C188" i="4"/>
  <c r="B188" i="4"/>
  <c r="B60" i="4"/>
  <c r="E13" i="4"/>
  <c r="C13" i="4"/>
  <c r="D13" i="4"/>
  <c r="E37" i="4"/>
  <c r="C37" i="4"/>
  <c r="D37" i="4"/>
  <c r="D53" i="4"/>
  <c r="C53" i="4"/>
  <c r="B53" i="4"/>
  <c r="D77" i="4"/>
  <c r="C77" i="4"/>
  <c r="E77" i="4"/>
  <c r="B77" i="4"/>
  <c r="D133" i="4"/>
  <c r="E133" i="4"/>
  <c r="C133" i="4"/>
  <c r="E141" i="4"/>
  <c r="D141" i="4"/>
  <c r="C141" i="4"/>
  <c r="B141" i="4"/>
  <c r="C149" i="4"/>
  <c r="B149" i="4"/>
  <c r="C165" i="4"/>
  <c r="E165" i="4"/>
  <c r="D165" i="4"/>
  <c r="C181" i="4"/>
  <c r="B181" i="4"/>
  <c r="E205" i="4"/>
  <c r="D205" i="4"/>
  <c r="B205" i="4"/>
  <c r="C205" i="4"/>
  <c r="B37" i="4"/>
  <c r="C60" i="4"/>
  <c r="B164" i="4"/>
  <c r="D6" i="4"/>
  <c r="C6" i="4"/>
  <c r="B6" i="4"/>
  <c r="D30" i="4"/>
  <c r="C30" i="4"/>
  <c r="B30" i="4"/>
  <c r="E54" i="4"/>
  <c r="D54" i="4"/>
  <c r="C54" i="4"/>
  <c r="E78" i="4"/>
  <c r="B78" i="4"/>
  <c r="E94" i="4"/>
  <c r="D94" i="4"/>
  <c r="E110" i="4"/>
  <c r="D110" i="4"/>
  <c r="C110" i="4"/>
  <c r="B110" i="4"/>
  <c r="E134" i="4"/>
  <c r="D134" i="4"/>
  <c r="C134" i="4"/>
  <c r="B134" i="4"/>
  <c r="E158" i="4"/>
  <c r="D158" i="4"/>
  <c r="C158" i="4"/>
  <c r="B158" i="4"/>
  <c r="E182" i="4"/>
  <c r="D182" i="4"/>
  <c r="C182" i="4"/>
  <c r="B182" i="4"/>
  <c r="D60" i="4"/>
  <c r="C157" i="4"/>
  <c r="C164" i="4"/>
  <c r="D55" i="4"/>
  <c r="E55" i="4"/>
  <c r="C55" i="4"/>
  <c r="E71" i="4"/>
  <c r="D71" i="4"/>
  <c r="B71" i="4"/>
  <c r="C71" i="4"/>
  <c r="C87" i="4"/>
  <c r="B87" i="4"/>
  <c r="E159" i="4"/>
  <c r="D159" i="4"/>
  <c r="C159" i="4"/>
  <c r="B159" i="4"/>
  <c r="E20" i="4"/>
  <c r="E30" i="4"/>
  <c r="D39" i="4"/>
  <c r="D87" i="4"/>
  <c r="D167" i="4"/>
  <c r="B175" i="4"/>
  <c r="E181" i="4"/>
  <c r="B189" i="4"/>
  <c r="D12" i="4"/>
  <c r="C12" i="4"/>
  <c r="D28" i="4"/>
  <c r="C28" i="4"/>
  <c r="E44" i="4"/>
  <c r="C44" i="4"/>
  <c r="B44" i="4"/>
  <c r="E68" i="4"/>
  <c r="C68" i="4"/>
  <c r="B68" i="4"/>
  <c r="D68" i="4"/>
  <c r="E92" i="4"/>
  <c r="B92" i="4"/>
  <c r="D92" i="4"/>
  <c r="C92" i="4"/>
  <c r="E132" i="4"/>
  <c r="D132" i="4"/>
  <c r="E156" i="4"/>
  <c r="D156" i="4"/>
  <c r="C156" i="4"/>
  <c r="B156" i="4"/>
  <c r="E180" i="4"/>
  <c r="D180" i="4"/>
  <c r="B180" i="4"/>
  <c r="C180" i="4"/>
  <c r="E196" i="4"/>
  <c r="D196" i="4"/>
  <c r="E4" i="4"/>
  <c r="B140" i="4"/>
  <c r="E5" i="4"/>
  <c r="C5" i="4"/>
  <c r="D5" i="4"/>
  <c r="E29" i="4"/>
  <c r="C29" i="4"/>
  <c r="D29" i="4"/>
  <c r="D93" i="4"/>
  <c r="C93" i="4"/>
  <c r="B93" i="4"/>
  <c r="E101" i="4"/>
  <c r="D101" i="4"/>
  <c r="C101" i="4"/>
  <c r="B101" i="4"/>
  <c r="D117" i="4"/>
  <c r="C117" i="4"/>
  <c r="B117" i="4"/>
  <c r="B28" i="4"/>
  <c r="D108" i="4"/>
  <c r="B157" i="4"/>
  <c r="D22" i="4"/>
  <c r="C22" i="4"/>
  <c r="B22" i="4"/>
  <c r="E46" i="4"/>
  <c r="D46" i="4"/>
  <c r="C46" i="4"/>
  <c r="B46" i="4"/>
  <c r="E70" i="4"/>
  <c r="D70" i="4"/>
  <c r="C70" i="4"/>
  <c r="B70" i="4"/>
  <c r="E102" i="4"/>
  <c r="D102" i="4"/>
  <c r="C102" i="4"/>
  <c r="B102" i="4"/>
  <c r="E126" i="4"/>
  <c r="D126" i="4"/>
  <c r="C126" i="4"/>
  <c r="B126" i="4"/>
  <c r="E150" i="4"/>
  <c r="D150" i="4"/>
  <c r="C150" i="4"/>
  <c r="B150" i="4"/>
  <c r="E174" i="4"/>
  <c r="D174" i="4"/>
  <c r="C174" i="4"/>
  <c r="B174" i="4"/>
  <c r="E198" i="4"/>
  <c r="D198" i="4"/>
  <c r="C198" i="4"/>
  <c r="B198" i="4"/>
  <c r="E6" i="4"/>
  <c r="E47" i="4"/>
  <c r="D47" i="4"/>
  <c r="C47" i="4"/>
  <c r="B47" i="4"/>
  <c r="E63" i="4"/>
  <c r="D63" i="4"/>
  <c r="E79" i="4"/>
  <c r="D79" i="4"/>
  <c r="C79" i="4"/>
  <c r="E95" i="4"/>
  <c r="D95" i="4"/>
  <c r="C95" i="4"/>
  <c r="B95" i="4"/>
  <c r="E119" i="4"/>
  <c r="D119" i="4"/>
  <c r="C119" i="4"/>
  <c r="C199" i="4"/>
  <c r="B199" i="4"/>
  <c r="B7" i="4"/>
  <c r="B29" i="4"/>
  <c r="C39" i="4"/>
  <c r="B63" i="4"/>
  <c r="B165" i="4"/>
  <c r="C7" i="4"/>
  <c r="D7" i="4"/>
  <c r="B12" i="4"/>
  <c r="B31" i="4"/>
  <c r="C69" i="4"/>
  <c r="E87" i="4"/>
  <c r="E93" i="4"/>
  <c r="E117" i="4"/>
  <c r="C175" i="4"/>
  <c r="C189" i="4"/>
  <c r="C196" i="4"/>
  <c r="D20" i="4"/>
  <c r="C20" i="4"/>
  <c r="D36" i="4"/>
  <c r="C36" i="4"/>
  <c r="E52" i="4"/>
  <c r="C52" i="4"/>
  <c r="B52" i="4"/>
  <c r="D52" i="4"/>
  <c r="E76" i="4"/>
  <c r="C76" i="4"/>
  <c r="D76" i="4"/>
  <c r="E100" i="4"/>
  <c r="C100" i="4"/>
  <c r="B100" i="4"/>
  <c r="E124" i="4"/>
  <c r="D124" i="4"/>
  <c r="C124" i="4"/>
  <c r="B124" i="4"/>
  <c r="E148" i="4"/>
  <c r="D148" i="4"/>
  <c r="C148" i="4"/>
  <c r="B148" i="4"/>
  <c r="E172" i="4"/>
  <c r="D172" i="4"/>
  <c r="C172" i="4"/>
  <c r="E204" i="4"/>
  <c r="D204" i="4"/>
  <c r="C204" i="4"/>
  <c r="E21" i="4"/>
  <c r="C21" i="4"/>
  <c r="D21" i="4"/>
  <c r="D45" i="4"/>
  <c r="C45" i="4"/>
  <c r="D61" i="4"/>
  <c r="C61" i="4"/>
  <c r="E61" i="4"/>
  <c r="B61" i="4"/>
  <c r="E85" i="4"/>
  <c r="D85" i="4"/>
  <c r="D109" i="4"/>
  <c r="C109" i="4"/>
  <c r="E173" i="4"/>
  <c r="D173" i="4"/>
  <c r="C173" i="4"/>
  <c r="B173" i="4"/>
  <c r="D197" i="4"/>
  <c r="C197" i="4"/>
  <c r="E197" i="4"/>
  <c r="D84" i="4"/>
  <c r="E149" i="4"/>
  <c r="D14" i="4"/>
  <c r="C14" i="4"/>
  <c r="B14" i="4"/>
  <c r="E38" i="4"/>
  <c r="D38" i="4"/>
  <c r="C38" i="4"/>
  <c r="B38" i="4"/>
  <c r="E62" i="4"/>
  <c r="D62" i="4"/>
  <c r="C62" i="4"/>
  <c r="B62" i="4"/>
  <c r="E86" i="4"/>
  <c r="D86" i="4"/>
  <c r="C86" i="4"/>
  <c r="B86" i="4"/>
  <c r="E118" i="4"/>
  <c r="D118" i="4"/>
  <c r="C118" i="4"/>
  <c r="E142" i="4"/>
  <c r="D142" i="4"/>
  <c r="C142" i="4"/>
  <c r="B142" i="4"/>
  <c r="E166" i="4"/>
  <c r="D166" i="4"/>
  <c r="C166" i="4"/>
  <c r="B166" i="4"/>
  <c r="E190" i="4"/>
  <c r="D190" i="4"/>
  <c r="C190" i="4"/>
  <c r="B190" i="4"/>
  <c r="B85" i="4"/>
  <c r="B109" i="4"/>
  <c r="E111" i="4"/>
  <c r="D111" i="4"/>
  <c r="C111" i="4"/>
  <c r="B111" i="4"/>
  <c r="E127" i="4"/>
  <c r="D127" i="4"/>
  <c r="B127" i="4"/>
  <c r="C127" i="4"/>
  <c r="C135" i="4"/>
  <c r="B135" i="4"/>
  <c r="D151" i="4"/>
  <c r="E151" i="4"/>
  <c r="C151" i="4"/>
  <c r="C167" i="4"/>
  <c r="B167" i="4"/>
  <c r="C183" i="4"/>
  <c r="D183" i="4"/>
  <c r="E183" i="4"/>
  <c r="E191" i="4"/>
  <c r="D191" i="4"/>
  <c r="B191" i="4"/>
  <c r="C191" i="4"/>
  <c r="D15" i="4"/>
  <c r="D143" i="4"/>
  <c r="D157" i="4"/>
  <c r="D181" i="4"/>
  <c r="B4" i="4"/>
  <c r="E12" i="4"/>
  <c r="E22" i="4"/>
  <c r="C31" i="4"/>
  <c r="E45" i="4"/>
  <c r="D69" i="4"/>
  <c r="B94" i="4"/>
  <c r="B118" i="4"/>
  <c r="B125" i="4"/>
  <c r="B132" i="4"/>
  <c r="D175" i="4"/>
  <c r="D189" i="4"/>
  <c r="B197" i="4"/>
  <c r="B204" i="4"/>
  <c r="E72" i="4"/>
  <c r="D72" i="4"/>
  <c r="E136" i="4"/>
  <c r="D136" i="4"/>
  <c r="E160" i="4"/>
  <c r="D160" i="4"/>
  <c r="E184" i="4"/>
  <c r="D184" i="4"/>
  <c r="E200" i="4"/>
  <c r="D200" i="4"/>
  <c r="B104" i="4"/>
  <c r="C121" i="4"/>
  <c r="B121" i="4"/>
  <c r="C129" i="4"/>
  <c r="B129" i="4"/>
  <c r="C137" i="4"/>
  <c r="B137" i="4"/>
  <c r="C145" i="4"/>
  <c r="B145" i="4"/>
  <c r="C161" i="4"/>
  <c r="B161" i="4"/>
  <c r="C169" i="4"/>
  <c r="B169" i="4"/>
  <c r="C177" i="4"/>
  <c r="B177" i="4"/>
  <c r="C185" i="4"/>
  <c r="B185" i="4"/>
  <c r="C193" i="4"/>
  <c r="B193" i="4"/>
  <c r="C201" i="4"/>
  <c r="B201" i="4"/>
  <c r="B8" i="4"/>
  <c r="D49" i="4"/>
  <c r="D58" i="4"/>
  <c r="B65" i="4"/>
  <c r="B74" i="4"/>
  <c r="C80" i="4"/>
  <c r="D89" i="4"/>
  <c r="D113" i="4"/>
  <c r="E137" i="4"/>
  <c r="E169" i="4"/>
  <c r="E201" i="4"/>
  <c r="D16" i="4"/>
  <c r="C16" i="4"/>
  <c r="D24" i="4"/>
  <c r="C24" i="4"/>
  <c r="D32" i="4"/>
  <c r="C32" i="4"/>
  <c r="E40" i="4"/>
  <c r="D40" i="4"/>
  <c r="E56" i="4"/>
  <c r="D56" i="4"/>
  <c r="E88" i="4"/>
  <c r="D88" i="4"/>
  <c r="E104" i="4"/>
  <c r="D104" i="4"/>
  <c r="E128" i="4"/>
  <c r="D128" i="4"/>
  <c r="E144" i="4"/>
  <c r="D144" i="4"/>
  <c r="E168" i="4"/>
  <c r="D168" i="4"/>
  <c r="E176" i="4"/>
  <c r="D176" i="4"/>
  <c r="E192" i="4"/>
  <c r="D192" i="4"/>
  <c r="B40" i="4"/>
  <c r="D64" i="4"/>
  <c r="B144" i="4"/>
  <c r="B176" i="4"/>
  <c r="D10" i="4"/>
  <c r="C10" i="4"/>
  <c r="D26" i="4"/>
  <c r="C26" i="4"/>
  <c r="E50" i="4"/>
  <c r="B50" i="4"/>
  <c r="E82" i="4"/>
  <c r="B82" i="4"/>
  <c r="E114" i="4"/>
  <c r="B114" i="4"/>
  <c r="E122" i="4"/>
  <c r="D122" i="4"/>
  <c r="E130" i="4"/>
  <c r="D130" i="4"/>
  <c r="E138" i="4"/>
  <c r="D138" i="4"/>
  <c r="E146" i="4"/>
  <c r="D146" i="4"/>
  <c r="E154" i="4"/>
  <c r="D154" i="4"/>
  <c r="E162" i="4"/>
  <c r="D162" i="4"/>
  <c r="E170" i="4"/>
  <c r="D170" i="4"/>
  <c r="E178" i="4"/>
  <c r="D178" i="4"/>
  <c r="E186" i="4"/>
  <c r="D186" i="4"/>
  <c r="E194" i="4"/>
  <c r="D194" i="4"/>
  <c r="E202" i="4"/>
  <c r="D202" i="4"/>
  <c r="D3" i="4"/>
  <c r="C11" i="4"/>
  <c r="E16" i="4"/>
  <c r="C19" i="4"/>
  <c r="E24" i="4"/>
  <c r="C27" i="4"/>
  <c r="E32" i="4"/>
  <c r="C35" i="4"/>
  <c r="C41" i="4"/>
  <c r="C50" i="4"/>
  <c r="B56" i="4"/>
  <c r="C65" i="4"/>
  <c r="C74" i="4"/>
  <c r="D80" i="4"/>
  <c r="D83" i="4"/>
  <c r="E89" i="4"/>
  <c r="B96" i="4"/>
  <c r="B99" i="4"/>
  <c r="C105" i="4"/>
  <c r="C114" i="4"/>
  <c r="B138" i="4"/>
  <c r="D145" i="4"/>
  <c r="B170" i="4"/>
  <c r="D177" i="4"/>
  <c r="B184" i="4"/>
  <c r="B202" i="4"/>
  <c r="D8" i="4"/>
  <c r="C8" i="4"/>
  <c r="E120" i="4"/>
  <c r="D120" i="4"/>
  <c r="E152" i="4"/>
  <c r="D152" i="4"/>
  <c r="B80" i="4"/>
  <c r="C153" i="4"/>
  <c r="B153" i="4"/>
  <c r="D18" i="4"/>
  <c r="C18" i="4"/>
  <c r="D34" i="4"/>
  <c r="C34" i="4"/>
  <c r="E66" i="4"/>
  <c r="B66" i="4"/>
  <c r="E98" i="4"/>
  <c r="B98" i="4"/>
  <c r="C43" i="4"/>
  <c r="B43" i="4"/>
  <c r="C59" i="4"/>
  <c r="B59" i="4"/>
  <c r="C75" i="4"/>
  <c r="B75" i="4"/>
  <c r="C91" i="4"/>
  <c r="B91" i="4"/>
  <c r="C107" i="4"/>
  <c r="B107" i="4"/>
  <c r="E123" i="4"/>
  <c r="D123" i="4"/>
  <c r="E131" i="4"/>
  <c r="D131" i="4"/>
  <c r="E139" i="4"/>
  <c r="D139" i="4"/>
  <c r="E147" i="4"/>
  <c r="D147" i="4"/>
  <c r="E155" i="4"/>
  <c r="D155" i="4"/>
  <c r="E163" i="4"/>
  <c r="D163" i="4"/>
  <c r="E171" i="4"/>
  <c r="D171" i="4"/>
  <c r="E179" i="4"/>
  <c r="D179" i="4"/>
  <c r="E187" i="4"/>
  <c r="D187" i="4"/>
  <c r="E195" i="4"/>
  <c r="D195" i="4"/>
  <c r="E203" i="4"/>
  <c r="D203" i="4"/>
  <c r="D41" i="4"/>
  <c r="D50" i="4"/>
  <c r="C56" i="4"/>
  <c r="E59" i="4"/>
  <c r="D65" i="4"/>
  <c r="D74" i="4"/>
  <c r="B81" i="4"/>
  <c r="B90" i="4"/>
  <c r="C96" i="4"/>
  <c r="D105" i="4"/>
  <c r="D114" i="4"/>
  <c r="C120" i="4"/>
  <c r="C131" i="4"/>
  <c r="C138" i="4"/>
  <c r="E145" i="4"/>
  <c r="C152" i="4"/>
  <c r="C163" i="4"/>
  <c r="C170" i="4"/>
  <c r="E177" i="4"/>
  <c r="C184" i="4"/>
  <c r="C195" i="4"/>
  <c r="C202" i="4"/>
  <c r="E206" i="4"/>
  <c r="D206" i="4"/>
  <c r="C206" i="4"/>
  <c r="E2" i="4"/>
  <c r="D2" i="4"/>
  <c r="C2" i="4"/>
  <c r="BM8" i="3"/>
  <c r="BM11" i="3"/>
  <c r="BM10" i="3"/>
  <c r="BM7" i="3"/>
  <c r="BM6" i="3"/>
  <c r="BR5" i="3"/>
  <c r="BQ8" i="3"/>
  <c r="BP6" i="3"/>
  <c r="BR8" i="3"/>
  <c r="BQ6" i="3"/>
  <c r="BP9" i="3"/>
  <c r="BQ9" i="3"/>
  <c r="BP7" i="3"/>
  <c r="BQ7" i="3"/>
  <c r="BP10" i="3"/>
  <c r="BP5" i="3"/>
  <c r="BQ10" i="3"/>
  <c r="BP4" i="3"/>
  <c r="BQ4" i="3"/>
  <c r="AS7" i="3"/>
  <c r="AV7" i="3"/>
  <c r="AU7" i="3"/>
  <c r="AW6" i="3"/>
  <c r="AT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<sst xmlns="http://schemas.openxmlformats.org/spreadsheetml/2006/main" count="245" uniqueCount="198">
  <si>
    <t>Year</t>
  </si>
  <si>
    <t>—</t>
  </si>
  <si>
    <t>Gold Price (₹/10g)</t>
  </si>
  <si>
    <t>YOY difference</t>
  </si>
  <si>
    <t>YOY
Percentage
(%/y)</t>
  </si>
  <si>
    <t xml:space="preserve">yoy avg </t>
  </si>
  <si>
    <t>Silver Price</t>
  </si>
  <si>
    <t>yoy diff</t>
  </si>
  <si>
    <t>yoy % growth</t>
  </si>
  <si>
    <t>besics function and formula study</t>
  </si>
  <si>
    <t>Formula</t>
  </si>
  <si>
    <t>Syntax</t>
  </si>
  <si>
    <t>Use</t>
  </si>
  <si>
    <t>Example</t>
  </si>
  <si>
    <t>Result</t>
  </si>
  <si>
    <t>Addition</t>
  </si>
  <si>
    <t>Add numbers</t>
  </si>
  <si>
    <t>Subtraction</t>
  </si>
  <si>
    <t>Minus</t>
  </si>
  <si>
    <t>Multiplication</t>
  </si>
  <si>
    <t>Multiply</t>
  </si>
  <si>
    <t>Division</t>
  </si>
  <si>
    <t>Divide</t>
  </si>
  <si>
    <t>Percentage</t>
  </si>
  <si>
    <t>Calculate %</t>
  </si>
  <si>
    <t>Power</t>
  </si>
  <si>
    <t>Square/Power</t>
  </si>
  <si>
    <t>Square Root</t>
  </si>
  <si>
    <t>Root value</t>
  </si>
  <si>
    <t>Absolute</t>
  </si>
  <si>
    <t>Remove minus sign</t>
  </si>
  <si>
    <t>MOD</t>
  </si>
  <si>
    <t>Remainder</t>
  </si>
  <si>
    <t>ROUND</t>
  </si>
  <si>
    <t>Round value</t>
  </si>
  <si>
    <t>CEILING</t>
  </si>
  <si>
    <t>Round up</t>
  </si>
  <si>
    <t>FLOOR</t>
  </si>
  <si>
    <t>Round down</t>
  </si>
  <si>
    <t xml:space="preserve">text besics commmand </t>
  </si>
  <si>
    <t>Function</t>
  </si>
  <si>
    <t>CONCAT</t>
  </si>
  <si>
    <t>Join text</t>
  </si>
  <si>
    <t>Devendra</t>
  </si>
  <si>
    <r>
      <t>&amp;</t>
    </r>
    <r>
      <rPr>
        <sz val="11"/>
        <color theme="1"/>
        <rFont val="Calibri"/>
        <family val="2"/>
        <scheme val="minor"/>
      </rPr>
      <t xml:space="preserve"> Operator</t>
    </r>
  </si>
  <si>
    <t>Combine text</t>
  </si>
  <si>
    <t>Hello World</t>
  </si>
  <si>
    <t>LEFT</t>
  </si>
  <si>
    <t>Take left characters</t>
  </si>
  <si>
    <t>Ex</t>
  </si>
  <si>
    <t>RIGHT</t>
  </si>
  <si>
    <t>Take right characters</t>
  </si>
  <si>
    <t>cel</t>
  </si>
  <si>
    <t>MID</t>
  </si>
  <si>
    <t>Extract middle text</t>
  </si>
  <si>
    <t>xce</t>
  </si>
  <si>
    <t>LEN</t>
  </si>
  <si>
    <t>Count characters</t>
  </si>
  <si>
    <t>UPPER</t>
  </si>
  <si>
    <t>Convert to CAPITAL</t>
  </si>
  <si>
    <t>EXCEL</t>
  </si>
  <si>
    <t>LOWER</t>
  </si>
  <si>
    <t>Convert to small letters</t>
  </si>
  <si>
    <t>excel</t>
  </si>
  <si>
    <t>PROPER</t>
  </si>
  <si>
    <t>First letter capital</t>
  </si>
  <si>
    <t>TRIM</t>
  </si>
  <si>
    <t>Remove extra spaces</t>
  </si>
  <si>
    <t>hello</t>
  </si>
  <si>
    <t>FIND</t>
  </si>
  <si>
    <t>Find text position</t>
  </si>
  <si>
    <t>SEARCH</t>
  </si>
  <si>
    <t>Search text</t>
  </si>
  <si>
    <t>REPLACE</t>
  </si>
  <si>
    <t>Replace by position</t>
  </si>
  <si>
    <t>Hicel</t>
  </si>
  <si>
    <t>SUBSTITUTE</t>
  </si>
  <si>
    <t>Replace word</t>
  </si>
  <si>
    <t>I like coffee</t>
  </si>
  <si>
    <t>EXACT</t>
  </si>
  <si>
    <t>Compare text</t>
  </si>
  <si>
    <t>TEXT</t>
  </si>
  <si>
    <t>Format numbers</t>
  </si>
  <si>
    <t>VALUE</t>
  </si>
  <si>
    <t>Convert text to number</t>
  </si>
  <si>
    <t>CLEAN</t>
  </si>
  <si>
    <t>Remove non-print chars</t>
  </si>
  <si>
    <t>Used in cleaning data</t>
  </si>
  <si>
    <t>Clean text</t>
  </si>
  <si>
    <t>CHAR</t>
  </si>
  <si>
    <t>Convert code to character</t>
  </si>
  <si>
    <t>A</t>
  </si>
  <si>
    <t>CODE</t>
  </si>
  <si>
    <t>Character ASCII code</t>
  </si>
  <si>
    <t>TEXTJOIN</t>
  </si>
  <si>
    <t>Join range with separator</t>
  </si>
  <si>
    <t>Join multiple names</t>
  </si>
  <si>
    <t>A,B,C</t>
  </si>
  <si>
    <t>marks</t>
  </si>
  <si>
    <t xml:space="preserve">sum </t>
  </si>
  <si>
    <t>diff</t>
  </si>
  <si>
    <t>PRODUCT</t>
  </si>
  <si>
    <t>DIVIDE</t>
  </si>
  <si>
    <t>PERCENTAGE</t>
  </si>
  <si>
    <t>POWEER</t>
  </si>
  <si>
    <t>SQRT</t>
  </si>
  <si>
    <t>ABS</t>
  </si>
  <si>
    <t>CELING</t>
  </si>
  <si>
    <t>Apple</t>
  </si>
  <si>
    <t>Hyderabad</t>
  </si>
  <si>
    <t>ExcelFormula</t>
  </si>
  <si>
    <t>DataAnalytics</t>
  </si>
  <si>
    <t>Sting</t>
  </si>
  <si>
    <t>left</t>
  </si>
  <si>
    <t>right</t>
  </si>
  <si>
    <t>concate</t>
  </si>
  <si>
    <t>&amp;</t>
  </si>
  <si>
    <t>mid</t>
  </si>
  <si>
    <t>lrngth</t>
  </si>
  <si>
    <t>upper</t>
  </si>
  <si>
    <t>lower</t>
  </si>
  <si>
    <t>proper</t>
  </si>
  <si>
    <t xml:space="preserve">TRIM </t>
  </si>
  <si>
    <t xml:space="preserve">FIND </t>
  </si>
  <si>
    <t>SREARCH</t>
  </si>
  <si>
    <t xml:space="preserve">CLEAN </t>
  </si>
  <si>
    <t xml:space="preserve">CHARACTER </t>
  </si>
  <si>
    <t>text</t>
  </si>
  <si>
    <t xml:space="preserve">aggrigation function = </t>
  </si>
  <si>
    <t>sum()</t>
  </si>
  <si>
    <t>avg()</t>
  </si>
  <si>
    <t>count()</t>
  </si>
  <si>
    <t xml:space="preserve">besic understanding the date function </t>
  </si>
  <si>
    <t xml:space="preserve">day </t>
  </si>
  <si>
    <t xml:space="preserve">date     formation  list random </t>
  </si>
  <si>
    <t>Day</t>
  </si>
  <si>
    <t>sequence date</t>
  </si>
  <si>
    <t>day</t>
  </si>
  <si>
    <t>month</t>
  </si>
  <si>
    <t>year</t>
  </si>
  <si>
    <t>week day name</t>
  </si>
  <si>
    <t>month name</t>
  </si>
  <si>
    <t xml:space="preserve">calculate the age </t>
  </si>
  <si>
    <t>CALCULATE THE AGE</t>
  </si>
  <si>
    <t>LOGICAL OPERATOR</t>
  </si>
  <si>
    <t>AND</t>
  </si>
  <si>
    <t>OR</t>
  </si>
  <si>
    <t>NOT</t>
  </si>
  <si>
    <t>CONDITIONAL STATEMENT</t>
  </si>
  <si>
    <t xml:space="preserve"> IF  CONDITIONAL</t>
  </si>
  <si>
    <t xml:space="preserve">PRACTIES THIS IS QUESTION AND PROVIDED THE MORE KNOWLEDGES THIS QUESTION </t>
  </si>
  <si>
    <t>SANDEEP</t>
  </si>
  <si>
    <t>DEVENDRA</t>
  </si>
  <si>
    <t>AMANRAJ</t>
  </si>
  <si>
    <t>KUSHWAH</t>
  </si>
  <si>
    <t>SYAM</t>
  </si>
  <si>
    <t>SUNDAR</t>
  </si>
  <si>
    <t>2:40PM</t>
  </si>
  <si>
    <t>Emp ID</t>
  </si>
  <si>
    <t>Name</t>
  </si>
  <si>
    <t>Department</t>
  </si>
  <si>
    <t>Join date</t>
  </si>
  <si>
    <t>Salary</t>
  </si>
  <si>
    <t>Bonus Eligible</t>
  </si>
  <si>
    <t>Performance</t>
  </si>
  <si>
    <t>Calculate bonus</t>
  </si>
  <si>
    <t>Nested if example</t>
  </si>
  <si>
    <t>Sneha</t>
  </si>
  <si>
    <t>Sales</t>
  </si>
  <si>
    <t>No</t>
  </si>
  <si>
    <t>Excellent</t>
  </si>
  <si>
    <t>HR</t>
  </si>
  <si>
    <t>Average</t>
  </si>
  <si>
    <t>Arjun</t>
  </si>
  <si>
    <t>IT</t>
  </si>
  <si>
    <t>Yes</t>
  </si>
  <si>
    <t>Priya</t>
  </si>
  <si>
    <t>Finance</t>
  </si>
  <si>
    <t>Poor</t>
  </si>
  <si>
    <t>Kavitha</t>
  </si>
  <si>
    <t>Good</t>
  </si>
  <si>
    <t>Manoj</t>
  </si>
  <si>
    <t>Aisha</t>
  </si>
  <si>
    <t>Tarun</t>
  </si>
  <si>
    <t>Pavan</t>
  </si>
  <si>
    <t>Eshwar</t>
  </si>
  <si>
    <t>+919461776105</t>
  </si>
  <si>
    <t>salary growth bonus by bonus</t>
  </si>
  <si>
    <t>Calculate the growth salary performance bases</t>
  </si>
  <si>
    <t>salary growth performance bases</t>
  </si>
  <si>
    <t>final bonus</t>
  </si>
  <si>
    <t>total salary growth performance base</t>
  </si>
  <si>
    <t xml:space="preserve">Experience calculation </t>
  </si>
  <si>
    <t>calculate the department wise analysis</t>
  </si>
  <si>
    <t>High Salary Employee</t>
  </si>
  <si>
    <t>Bonus Eligible Validation</t>
  </si>
  <si>
    <t>Salary Hike Percentage</t>
  </si>
  <si>
    <t xml:space="preserve">CHART SHOW THE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</si>
</sst>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8" formatCode="&quot;₹&quot;\ #,##0.00;[Red]&quot;₹&quot;\ \-#,##0.00"/>
    <numFmt numFmtId="164" formatCode="[$-F800]dddd\,\ mmmm\ dd\,\ yyyy"/>
    <numFmt numFmtId="165" formatCode="[$-F400]h:mm:ss\ AM/PM"/>
    <numFmt numFmtId="166" formatCode="[$-14009]dd/mm/yyyy;@"/>
    <numFmt numFmtId="167" formatCode="yyyy/mm/dd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9C0006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10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/>
    <xf numFmtId="9" fontId="0" fillId="0" borderId="0" xfId="1" applyFont="1"/>
    <xf numFmtId="0" fontId="3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8" fontId="0" fillId="0" borderId="0" xfId="0" applyNumberFormat="1"/>
    <xf numFmtId="22" fontId="0" fillId="0" borderId="0" xfId="0" applyNumberFormat="1"/>
    <xf numFmtId="20" fontId="0" fillId="0" borderId="0" xfId="0" applyNumberFormat="1"/>
    <xf numFmtId="165" fontId="0" fillId="0" borderId="0" xfId="0" applyNumberFormat="1" applyAlignment="1">
      <alignment wrapText="1"/>
    </xf>
    <xf numFmtId="0" fontId="4" fillId="2" borderId="0" xfId="2"/>
    <xf numFmtId="49" fontId="0" fillId="0" borderId="0" xfId="0" applyNumberFormat="1"/>
    <xf numFmtId="14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0" fontId="0" fillId="0" borderId="0" xfId="1" applyNumberFormat="1" applyFont="1"/>
    <xf numFmtId="166" fontId="5" fillId="0" borderId="0" xfId="0" applyNumberFormat="1" applyFont="1"/>
  </cellXfs>
  <cellStyles count="3">
    <cellStyle name="Bad" xfId="2" builtinId="27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02952755905515"/>
          <c:y val="0.16245370370370371"/>
          <c:w val="0.85443285214348208"/>
          <c:h val="0.802858705161854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2010</c:v>
                </c:pt>
                <c:pt idx="10">
                  <c:v>2010</c:v>
                </c:pt>
                <c:pt idx="11">
                  <c:v>2010</c:v>
                </c:pt>
                <c:pt idx="12">
                  <c:v>2010</c:v>
                </c:pt>
                <c:pt idx="13">
                  <c:v>2010</c:v>
                </c:pt>
                <c:pt idx="14">
                  <c:v>2010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7-4C42-884D-6BCD8A4832C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Sheet1!$B$2:$B$16</c:f>
              <c:numCache>
                <c:formatCode>"₹"#,##0_);[Red]\("₹"#,##0\)</c:formatCode>
                <c:ptCount val="15"/>
                <c:pt idx="0">
                  <c:v>18500</c:v>
                </c:pt>
                <c:pt idx="1">
                  <c:v>26400</c:v>
                </c:pt>
                <c:pt idx="2">
                  <c:v>31050</c:v>
                </c:pt>
                <c:pt idx="3">
                  <c:v>29600</c:v>
                </c:pt>
                <c:pt idx="4">
                  <c:v>28006</c:v>
                </c:pt>
                <c:pt idx="5">
                  <c:v>26343</c:v>
                </c:pt>
                <c:pt idx="6">
                  <c:v>28623</c:v>
                </c:pt>
                <c:pt idx="7">
                  <c:v>29667</c:v>
                </c:pt>
                <c:pt idx="8">
                  <c:v>31438</c:v>
                </c:pt>
                <c:pt idx="9">
                  <c:v>35220</c:v>
                </c:pt>
                <c:pt idx="10">
                  <c:v>48651</c:v>
                </c:pt>
                <c:pt idx="11">
                  <c:v>48720</c:v>
                </c:pt>
                <c:pt idx="12">
                  <c:v>52670</c:v>
                </c:pt>
                <c:pt idx="13">
                  <c:v>65330</c:v>
                </c:pt>
                <c:pt idx="14">
                  <c:v>77913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7-4C42-884D-6BCD8A4832C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Sheet1!$C$2:$C$16</c:f>
              <c:numCache>
                <c:formatCode>"₹"#,##0_);[Red]\("₹"#,##0\)</c:formatCode>
                <c:ptCount val="15"/>
                <c:pt idx="1">
                  <c:v>7900</c:v>
                </c:pt>
                <c:pt idx="2">
                  <c:v>4650</c:v>
                </c:pt>
                <c:pt idx="3">
                  <c:v>-1450</c:v>
                </c:pt>
                <c:pt idx="4">
                  <c:v>-1594</c:v>
                </c:pt>
                <c:pt idx="5">
                  <c:v>-1663</c:v>
                </c:pt>
                <c:pt idx="6">
                  <c:v>2280</c:v>
                </c:pt>
                <c:pt idx="7">
                  <c:v>1044</c:v>
                </c:pt>
                <c:pt idx="8">
                  <c:v>1771</c:v>
                </c:pt>
                <c:pt idx="9">
                  <c:v>3782</c:v>
                </c:pt>
                <c:pt idx="10">
                  <c:v>13431</c:v>
                </c:pt>
                <c:pt idx="11">
                  <c:v>69</c:v>
                </c:pt>
                <c:pt idx="12">
                  <c:v>3950</c:v>
                </c:pt>
                <c:pt idx="13">
                  <c:v>12660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B7-4C42-884D-6BCD8A4832C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Sheet1!$D$2:$D$16</c:f>
              <c:numCache>
                <c:formatCode>0.00%</c:formatCode>
                <c:ptCount val="15"/>
                <c:pt idx="1">
                  <c:v>0.42702702702702705</c:v>
                </c:pt>
                <c:pt idx="2">
                  <c:v>0.17613636363636365</c:v>
                </c:pt>
                <c:pt idx="3">
                  <c:v>-4.6698872785829307E-2</c:v>
                </c:pt>
                <c:pt idx="4">
                  <c:v>-5.3851351351351349E-2</c:v>
                </c:pt>
                <c:pt idx="5">
                  <c:v>-5.9380132828679572E-2</c:v>
                </c:pt>
                <c:pt idx="6">
                  <c:v>8.6550506775993616E-2</c:v>
                </c:pt>
                <c:pt idx="7">
                  <c:v>3.64741641337386E-2</c:v>
                </c:pt>
                <c:pt idx="8">
                  <c:v>5.9695958472376714E-2</c:v>
                </c:pt>
                <c:pt idx="9">
                  <c:v>0.12030027355429734</c:v>
                </c:pt>
                <c:pt idx="10">
                  <c:v>0.38134582623509372</c:v>
                </c:pt>
                <c:pt idx="11">
                  <c:v>1.4182647838687796E-3</c:v>
                </c:pt>
                <c:pt idx="12">
                  <c:v>8.1075533661740556E-2</c:v>
                </c:pt>
                <c:pt idx="13">
                  <c:v>0.24036453389026011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B7-4C42-884D-6BCD8A4832C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Sheet1!$E$2:$E$16</c:f>
              <c:numCache>
                <c:formatCode>General</c:formatCode>
                <c:ptCount val="15"/>
                <c:pt idx="0" formatCode="&quot;₹&quot;#,##0.00_);[Red]\(&quot;₹&quot;#,##0.00\)">
                  <c:v>38542.066666666666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B7-4C42-884D-6BCD8A483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136687"/>
        <c:axId val="2066137167"/>
      </c:barChart>
      <c:catAx>
        <c:axId val="206613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137167"/>
        <c:crosses val="autoZero"/>
        <c:auto val="1"/>
        <c:lblAlgn val="ctr"/>
        <c:lblOffset val="100"/>
        <c:noMultiLvlLbl val="0"/>
      </c:catAx>
      <c:valAx>
        <c:axId val="20661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13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2010</c:v>
                </c:pt>
                <c:pt idx="10">
                  <c:v>2010</c:v>
                </c:pt>
                <c:pt idx="11">
                  <c:v>2010</c:v>
                </c:pt>
                <c:pt idx="12">
                  <c:v>2010</c:v>
                </c:pt>
                <c:pt idx="13">
                  <c:v>2010</c:v>
                </c:pt>
                <c:pt idx="14">
                  <c:v>2010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A-4564-8D8E-1DD2ACEEACDA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Gold Price (₹/10g)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Sheet1!$B$2:$B$16</c:f>
              <c:numCache>
                <c:formatCode>"₹"#,##0_);[Red]\("₹"#,##0\)</c:formatCode>
                <c:ptCount val="15"/>
                <c:pt idx="0">
                  <c:v>18500</c:v>
                </c:pt>
                <c:pt idx="1">
                  <c:v>26400</c:v>
                </c:pt>
                <c:pt idx="2">
                  <c:v>31050</c:v>
                </c:pt>
                <c:pt idx="3">
                  <c:v>29600</c:v>
                </c:pt>
                <c:pt idx="4">
                  <c:v>28006</c:v>
                </c:pt>
                <c:pt idx="5">
                  <c:v>26343</c:v>
                </c:pt>
                <c:pt idx="6">
                  <c:v>28623</c:v>
                </c:pt>
                <c:pt idx="7">
                  <c:v>29667</c:v>
                </c:pt>
                <c:pt idx="8">
                  <c:v>31438</c:v>
                </c:pt>
                <c:pt idx="9">
                  <c:v>35220</c:v>
                </c:pt>
                <c:pt idx="10">
                  <c:v>48651</c:v>
                </c:pt>
                <c:pt idx="11">
                  <c:v>48720</c:v>
                </c:pt>
                <c:pt idx="12">
                  <c:v>52670</c:v>
                </c:pt>
                <c:pt idx="13">
                  <c:v>65330</c:v>
                </c:pt>
                <c:pt idx="14">
                  <c:v>77913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A-4564-8D8E-1DD2ACEEACDA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YOY difference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Sheet1!$C$2:$C$16</c:f>
              <c:numCache>
                <c:formatCode>"₹"#,##0_);[Red]\("₹"#,##0\)</c:formatCode>
                <c:ptCount val="15"/>
                <c:pt idx="1">
                  <c:v>7900</c:v>
                </c:pt>
                <c:pt idx="2">
                  <c:v>4650</c:v>
                </c:pt>
                <c:pt idx="3">
                  <c:v>-1450</c:v>
                </c:pt>
                <c:pt idx="4">
                  <c:v>-1594</c:v>
                </c:pt>
                <c:pt idx="5">
                  <c:v>-1663</c:v>
                </c:pt>
                <c:pt idx="6">
                  <c:v>2280</c:v>
                </c:pt>
                <c:pt idx="7">
                  <c:v>1044</c:v>
                </c:pt>
                <c:pt idx="8">
                  <c:v>1771</c:v>
                </c:pt>
                <c:pt idx="9">
                  <c:v>3782</c:v>
                </c:pt>
                <c:pt idx="10">
                  <c:v>13431</c:v>
                </c:pt>
                <c:pt idx="11">
                  <c:v>69</c:v>
                </c:pt>
                <c:pt idx="12">
                  <c:v>3950</c:v>
                </c:pt>
                <c:pt idx="13">
                  <c:v>12660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5A-4564-8D8E-1DD2ACEEACDA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YOY
Percentage
(%/y)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Sheet1!$D$2:$D$16</c:f>
              <c:numCache>
                <c:formatCode>0.00%</c:formatCode>
                <c:ptCount val="15"/>
                <c:pt idx="1">
                  <c:v>0.42702702702702705</c:v>
                </c:pt>
                <c:pt idx="2">
                  <c:v>0.17613636363636365</c:v>
                </c:pt>
                <c:pt idx="3">
                  <c:v>-4.6698872785829307E-2</c:v>
                </c:pt>
                <c:pt idx="4">
                  <c:v>-5.3851351351351349E-2</c:v>
                </c:pt>
                <c:pt idx="5">
                  <c:v>-5.9380132828679572E-2</c:v>
                </c:pt>
                <c:pt idx="6">
                  <c:v>8.6550506775993616E-2</c:v>
                </c:pt>
                <c:pt idx="7">
                  <c:v>3.64741641337386E-2</c:v>
                </c:pt>
                <c:pt idx="8">
                  <c:v>5.9695958472376714E-2</c:v>
                </c:pt>
                <c:pt idx="9">
                  <c:v>0.12030027355429734</c:v>
                </c:pt>
                <c:pt idx="10">
                  <c:v>0.38134582623509372</c:v>
                </c:pt>
                <c:pt idx="11">
                  <c:v>1.4182647838687796E-3</c:v>
                </c:pt>
                <c:pt idx="12">
                  <c:v>8.1075533661740556E-2</c:v>
                </c:pt>
                <c:pt idx="13">
                  <c:v>0.24036453389026011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5A-4564-8D8E-1DD2ACEE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092335"/>
        <c:axId val="1968094255"/>
      </c:lineChart>
      <c:catAx>
        <c:axId val="1968092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94255"/>
        <c:crosses val="autoZero"/>
        <c:auto val="1"/>
        <c:lblAlgn val="ctr"/>
        <c:lblOffset val="100"/>
        <c:noMultiLvlLbl val="0"/>
      </c:catAx>
      <c:valAx>
        <c:axId val="196809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9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490676617230071E-2"/>
          <c:y val="1.6747958658102163E-2"/>
          <c:w val="0.85219685039370074"/>
          <c:h val="0.67145778652668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3-4958-9760-D0034394B218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Silver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Sheet2!$B$2:$B$16</c:f>
              <c:numCache>
                <c:formatCode>"₹"#,##0_);[Red]\("₹"#,##0\)</c:formatCode>
                <c:ptCount val="15"/>
                <c:pt idx="0">
                  <c:v>27255</c:v>
                </c:pt>
                <c:pt idx="1">
                  <c:v>56900</c:v>
                </c:pt>
                <c:pt idx="2">
                  <c:v>56290</c:v>
                </c:pt>
                <c:pt idx="3">
                  <c:v>54030</c:v>
                </c:pt>
                <c:pt idx="4">
                  <c:v>43070</c:v>
                </c:pt>
                <c:pt idx="5">
                  <c:v>37825</c:v>
                </c:pt>
                <c:pt idx="6">
                  <c:v>36990</c:v>
                </c:pt>
                <c:pt idx="7">
                  <c:v>37825</c:v>
                </c:pt>
                <c:pt idx="8">
                  <c:v>41400</c:v>
                </c:pt>
                <c:pt idx="9">
                  <c:v>40600</c:v>
                </c:pt>
                <c:pt idx="10">
                  <c:v>63435</c:v>
                </c:pt>
                <c:pt idx="11">
                  <c:v>62572</c:v>
                </c:pt>
                <c:pt idx="12">
                  <c:v>55100</c:v>
                </c:pt>
                <c:pt idx="13">
                  <c:v>78600</c:v>
                </c:pt>
                <c:pt idx="14">
                  <c:v>95700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3-4958-9760-D0034394B218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yoy diff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Sheet2!$C$2:$C$16</c:f>
              <c:numCache>
                <c:formatCode>"₹"#,##0_);[Red]\("₹"#,##0\)</c:formatCode>
                <c:ptCount val="15"/>
                <c:pt idx="0" formatCode="General">
                  <c:v>0</c:v>
                </c:pt>
                <c:pt idx="1">
                  <c:v>29645</c:v>
                </c:pt>
                <c:pt idx="2">
                  <c:v>-610</c:v>
                </c:pt>
                <c:pt idx="3">
                  <c:v>-2260</c:v>
                </c:pt>
                <c:pt idx="4">
                  <c:v>-10960</c:v>
                </c:pt>
                <c:pt idx="5">
                  <c:v>-5245</c:v>
                </c:pt>
                <c:pt idx="6">
                  <c:v>-835</c:v>
                </c:pt>
                <c:pt idx="7">
                  <c:v>835</c:v>
                </c:pt>
                <c:pt idx="8">
                  <c:v>3575</c:v>
                </c:pt>
                <c:pt idx="9">
                  <c:v>-800</c:v>
                </c:pt>
                <c:pt idx="10">
                  <c:v>22835</c:v>
                </c:pt>
                <c:pt idx="11">
                  <c:v>-863</c:v>
                </c:pt>
                <c:pt idx="12">
                  <c:v>-7472</c:v>
                </c:pt>
                <c:pt idx="13">
                  <c:v>23500</c:v>
                </c:pt>
                <c:pt idx="14">
                  <c:v>17100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3-4958-9760-D0034394B218}"/>
            </c:ext>
          </c:extLst>
        </c:ser>
        <c:ser>
          <c:idx val="3"/>
          <c:order val="3"/>
          <c:tx>
            <c:strRef>
              <c:f>Sheet2!$D$1</c:f>
              <c:strCache>
                <c:ptCount val="1"/>
                <c:pt idx="0">
                  <c:v>yoy % growth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Sheet2!$D$2:$D$16</c:f>
              <c:numCache>
                <c:formatCode>0%</c:formatCode>
                <c:ptCount val="15"/>
                <c:pt idx="1">
                  <c:v>1.0876903320491653</c:v>
                </c:pt>
                <c:pt idx="2">
                  <c:v>-1.0720562390158173E-2</c:v>
                </c:pt>
                <c:pt idx="3">
                  <c:v>-4.0149227216201809E-2</c:v>
                </c:pt>
                <c:pt idx="4">
                  <c:v>-0.20285026836942438</c:v>
                </c:pt>
                <c:pt idx="5">
                  <c:v>-0.12177850011609008</c:v>
                </c:pt>
                <c:pt idx="6">
                  <c:v>-2.2075346992729675E-2</c:v>
                </c:pt>
                <c:pt idx="7">
                  <c:v>2.2573668559070018E-2</c:v>
                </c:pt>
                <c:pt idx="8">
                  <c:v>9.4514210178453406E-2</c:v>
                </c:pt>
                <c:pt idx="9">
                  <c:v>-1.932367149758454E-2</c:v>
                </c:pt>
                <c:pt idx="10">
                  <c:v>0.56243842364532015</c:v>
                </c:pt>
                <c:pt idx="11">
                  <c:v>-1.3604477023725072E-2</c:v>
                </c:pt>
                <c:pt idx="12">
                  <c:v>-0.11941443457137378</c:v>
                </c:pt>
                <c:pt idx="13">
                  <c:v>0.426497277676951</c:v>
                </c:pt>
                <c:pt idx="14">
                  <c:v>0.21755725190839695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53-4958-9760-D0034394B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6151087"/>
        <c:axId val="2066152047"/>
      </c:barChart>
      <c:catAx>
        <c:axId val="2066151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152047"/>
        <c:crosses val="autoZero"/>
        <c:auto val="1"/>
        <c:lblAlgn val="ctr"/>
        <c:lblOffset val="100"/>
        <c:noMultiLvlLbl val="0"/>
      </c:catAx>
      <c:valAx>
        <c:axId val="20661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15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</a:t>
            </a:r>
            <a:r>
              <a:rPr lang="en-IN" baseline="0"/>
              <a:t> GROWTH PERFORMANCE BASE AND BONUS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Sheet6!$J$1</c:f>
              <c:strCache>
                <c:ptCount val="1"/>
                <c:pt idx="0">
                  <c:v>Calculate the growth salary performance bases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Sheet6!$J$2:$J$12</c:f>
              <c:numCache>
                <c:formatCode>General</c:formatCode>
                <c:ptCount val="11"/>
                <c:pt idx="0">
                  <c:v>76809.2</c:v>
                </c:pt>
                <c:pt idx="1">
                  <c:v>75306</c:v>
                </c:pt>
                <c:pt idx="2">
                  <c:v>74864.399999999994</c:v>
                </c:pt>
                <c:pt idx="3">
                  <c:v>58915</c:v>
                </c:pt>
                <c:pt idx="4">
                  <c:v>69791.7</c:v>
                </c:pt>
                <c:pt idx="5">
                  <c:v>59485.4</c:v>
                </c:pt>
                <c:pt idx="6">
                  <c:v>68325.399999999994</c:v>
                </c:pt>
                <c:pt idx="7">
                  <c:v>74156.399999999994</c:v>
                </c:pt>
                <c:pt idx="8">
                  <c:v>65579.8</c:v>
                </c:pt>
                <c:pt idx="9">
                  <c:v>69606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0DB-A63B-D8C7B4C2C1CE}"/>
            </c:ext>
          </c:extLst>
        </c:ser>
        <c:ser>
          <c:idx val="1"/>
          <c:order val="1"/>
          <c:tx>
            <c:strRef>
              <c:f>Sheet6!$K$1</c:f>
              <c:strCache>
                <c:ptCount val="1"/>
                <c:pt idx="0">
                  <c:v>salary growth bonus by bonus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Sheet6!$K$2:$K$12</c:f>
              <c:numCache>
                <c:formatCode>General</c:formatCode>
                <c:ptCount val="11"/>
                <c:pt idx="0">
                  <c:v>70900.800000000003</c:v>
                </c:pt>
                <c:pt idx="1">
                  <c:v>75306</c:v>
                </c:pt>
                <c:pt idx="2">
                  <c:v>74864.400000000009</c:v>
                </c:pt>
                <c:pt idx="3">
                  <c:v>70698</c:v>
                </c:pt>
                <c:pt idx="4">
                  <c:v>76136.399999999994</c:v>
                </c:pt>
                <c:pt idx="5">
                  <c:v>59485.4</c:v>
                </c:pt>
                <c:pt idx="6">
                  <c:v>74536.800000000003</c:v>
                </c:pt>
                <c:pt idx="7">
                  <c:v>80336.100000000006</c:v>
                </c:pt>
                <c:pt idx="8">
                  <c:v>60535.199999999997</c:v>
                </c:pt>
                <c:pt idx="9">
                  <c:v>75406.5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B-40DB-A63B-D8C7B4C2C1CE}"/>
            </c:ext>
          </c:extLst>
        </c:ser>
        <c:ser>
          <c:idx val="2"/>
          <c:order val="2"/>
          <c:tx>
            <c:strRef>
              <c:f>Sheet6!$L$1</c:f>
              <c:strCache>
                <c:ptCount val="1"/>
                <c:pt idx="0">
                  <c:v>salary growth performance bases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Sheet6!$L$2:$L$12</c:f>
              <c:numCache>
                <c:formatCode>General</c:formatCode>
                <c:ptCount val="11"/>
                <c:pt idx="0">
                  <c:v>135893.20000000001</c:v>
                </c:pt>
                <c:pt idx="1">
                  <c:v>138061</c:v>
                </c:pt>
                <c:pt idx="2">
                  <c:v>132452.40000000002</c:v>
                </c:pt>
                <c:pt idx="3">
                  <c:v>58915</c:v>
                </c:pt>
                <c:pt idx="4">
                  <c:v>133238.70000000001</c:v>
                </c:pt>
                <c:pt idx="5">
                  <c:v>105243.4</c:v>
                </c:pt>
                <c:pt idx="6">
                  <c:v>130439.40000000001</c:v>
                </c:pt>
                <c:pt idx="7">
                  <c:v>135953.4</c:v>
                </c:pt>
                <c:pt idx="8">
                  <c:v>116025.8</c:v>
                </c:pt>
                <c:pt idx="9">
                  <c:v>127611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B-40DB-A63B-D8C7B4C2C1CE}"/>
            </c:ext>
          </c:extLst>
        </c:ser>
        <c:ser>
          <c:idx val="3"/>
          <c:order val="3"/>
          <c:tx>
            <c:strRef>
              <c:f>Sheet6!$M$1</c:f>
              <c:strCache>
                <c:ptCount val="1"/>
                <c:pt idx="0">
                  <c:v>final bonus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Sheet6!$M$2:$M$12</c:f>
              <c:numCache>
                <c:formatCode>General</c:formatCode>
                <c:ptCount val="11"/>
                <c:pt idx="0">
                  <c:v>59084</c:v>
                </c:pt>
                <c:pt idx="1">
                  <c:v>62755</c:v>
                </c:pt>
                <c:pt idx="2">
                  <c:v>69105.600000000006</c:v>
                </c:pt>
                <c:pt idx="3">
                  <c:v>58915</c:v>
                </c:pt>
                <c:pt idx="4">
                  <c:v>63447</c:v>
                </c:pt>
                <c:pt idx="5">
                  <c:v>54909.599999999999</c:v>
                </c:pt>
                <c:pt idx="6">
                  <c:v>62114</c:v>
                </c:pt>
                <c:pt idx="7">
                  <c:v>74156.399999999994</c:v>
                </c:pt>
                <c:pt idx="8">
                  <c:v>50446</c:v>
                </c:pt>
                <c:pt idx="9">
                  <c:v>69606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CB-40DB-A63B-D8C7B4C2C1CE}"/>
            </c:ext>
          </c:extLst>
        </c:ser>
        <c:ser>
          <c:idx val="4"/>
          <c:order val="4"/>
          <c:tx>
            <c:strRef>
              <c:f>Sheet6!$N$1</c:f>
              <c:strCache>
                <c:ptCount val="1"/>
                <c:pt idx="0">
                  <c:v>total salary growth performance base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Sheet6!$N$2:$N$12</c:f>
              <c:numCache>
                <c:formatCode>General</c:formatCode>
                <c:ptCount val="11"/>
                <c:pt idx="0">
                  <c:v>70900.800000000003</c:v>
                </c:pt>
                <c:pt idx="1">
                  <c:v>81581.5</c:v>
                </c:pt>
                <c:pt idx="2">
                  <c:v>69105.600000000006</c:v>
                </c:pt>
                <c:pt idx="3">
                  <c:v>70698</c:v>
                </c:pt>
                <c:pt idx="4">
                  <c:v>82481.100000000006</c:v>
                </c:pt>
                <c:pt idx="5">
                  <c:v>50333.8</c:v>
                </c:pt>
                <c:pt idx="6">
                  <c:v>80748.2</c:v>
                </c:pt>
                <c:pt idx="7">
                  <c:v>80336.100000000006</c:v>
                </c:pt>
                <c:pt idx="8">
                  <c:v>60535.199999999997</c:v>
                </c:pt>
                <c:pt idx="9">
                  <c:v>69606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CB-40DB-A63B-D8C7B4C2C1CE}"/>
            </c:ext>
          </c:extLst>
        </c:ser>
        <c:ser>
          <c:idx val="5"/>
          <c:order val="5"/>
          <c:tx>
            <c:strRef>
              <c:f>Sheet6!$O$1</c:f>
              <c:strCache>
                <c:ptCount val="1"/>
                <c:pt idx="0">
                  <c:v>Experience calculation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Sheet6!$O$2:$O$12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CB-40DB-A63B-D8C7B4C2C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541743"/>
        <c:axId val="181542703"/>
      </c:barChart>
      <c:catAx>
        <c:axId val="181541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2703"/>
        <c:crosses val="autoZero"/>
        <c:auto val="1"/>
        <c:lblAlgn val="ctr"/>
        <c:lblOffset val="100"/>
        <c:noMultiLvlLbl val="0"/>
      </c:catAx>
      <c:valAx>
        <c:axId val="18154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</a:t>
            </a:r>
            <a:r>
              <a:rPr lang="en-IN" baseline="0"/>
              <a:t> BONUS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5185208098264964E-2"/>
          <c:y val="9.0127024475424714E-2"/>
          <c:w val="0.91481479190173509"/>
          <c:h val="0.7874418432428492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Sheet6!$O$2:$R$11</c:f>
              <c:multiLvlStrCache>
                <c:ptCount val="10"/>
                <c:lvl>
                  <c:pt idx="0">
                    <c:v>Normal Bonus</c:v>
                  </c:pt>
                  <c:pt idx="1">
                    <c:v>Normal Bonus</c:v>
                  </c:pt>
                  <c:pt idx="2">
                    <c:v>High Bonus</c:v>
                  </c:pt>
                  <c:pt idx="3">
                    <c:v>Normal Bonus</c:v>
                  </c:pt>
                  <c:pt idx="4">
                    <c:v>Normal Bonus</c:v>
                  </c:pt>
                  <c:pt idx="5">
                    <c:v>High Bonus</c:v>
                  </c:pt>
                  <c:pt idx="6">
                    <c:v>Normal Bonus</c:v>
                  </c:pt>
                  <c:pt idx="7">
                    <c:v>Normal Bonus</c:v>
                  </c:pt>
                  <c:pt idx="8">
                    <c:v>Normal Bonus</c:v>
                  </c:pt>
                  <c:pt idx="9">
                    <c:v>Normal Bonus</c:v>
                  </c:pt>
                </c:lvl>
                <c:lvl>
                  <c:pt idx="0">
                    <c:v>Normal</c:v>
                  </c:pt>
                  <c:pt idx="1">
                    <c:v>High Salary</c:v>
                  </c:pt>
                  <c:pt idx="2">
                    <c:v>Normal</c:v>
                  </c:pt>
                  <c:pt idx="3">
                    <c:v>Normal</c:v>
                  </c:pt>
                  <c:pt idx="4">
                    <c:v>High Salary</c:v>
                  </c:pt>
                  <c:pt idx="5">
                    <c:v>Normal</c:v>
                  </c:pt>
                  <c:pt idx="6">
                    <c:v>High Salary</c:v>
                  </c:pt>
                  <c:pt idx="7">
                    <c:v>High Salary</c:v>
                  </c:pt>
                  <c:pt idx="8">
                    <c:v>Normal</c:v>
                  </c:pt>
                  <c:pt idx="9">
                    <c:v>Normal</c:v>
                  </c:pt>
                </c:lvl>
                <c:lvl>
                  <c:pt idx="0">
                    <c:v>1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5</c:v>
                  </c:pt>
                  <c:pt idx="4">
                    <c:v>2</c:v>
                  </c:pt>
                  <c:pt idx="5">
                    <c:v>4</c:v>
                  </c:pt>
                  <c:pt idx="6">
                    <c:v>2</c:v>
                  </c:pt>
                  <c:pt idx="7">
                    <c:v>2</c:v>
                  </c:pt>
                  <c:pt idx="8">
                    <c:v>1</c:v>
                  </c:pt>
                  <c:pt idx="9">
                    <c:v>4</c:v>
                  </c:pt>
                </c:lvl>
              </c:multiLvlStrCache>
            </c:multiLvlStrRef>
          </c:cat>
          <c:val>
            <c:numRef>
              <c:f>Sheet6!$S$2:$S$11</c:f>
              <c:numCache>
                <c:formatCode>General</c:formatCode>
                <c:ptCount val="10"/>
                <c:pt idx="0">
                  <c:v>6.2131880035204118E-2</c:v>
                </c:pt>
                <c:pt idx="1">
                  <c:v>-8.233606883913632</c:v>
                </c:pt>
                <c:pt idx="2">
                  <c:v>2.3042995068417031</c:v>
                </c:pt>
                <c:pt idx="3">
                  <c:v>7.6924382585080204</c:v>
                </c:pt>
                <c:pt idx="4">
                  <c:v>-27.879962803599856</c:v>
                </c:pt>
                <c:pt idx="5">
                  <c:v>35.744569255649282</c:v>
                </c:pt>
                <c:pt idx="6">
                  <c:v>-0.51035193354155262</c:v>
                </c:pt>
                <c:pt idx="7">
                  <c:v>-18.368205576322474</c:v>
                </c:pt>
                <c:pt idx="8">
                  <c:v>14.984339689965509</c:v>
                </c:pt>
                <c:pt idx="9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E0-46EF-B581-797AA03DF2B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Sheet6!$O$2:$R$11</c:f>
              <c:multiLvlStrCache>
                <c:ptCount val="10"/>
                <c:lvl>
                  <c:pt idx="0">
                    <c:v>Normal Bonus</c:v>
                  </c:pt>
                  <c:pt idx="1">
                    <c:v>Normal Bonus</c:v>
                  </c:pt>
                  <c:pt idx="2">
                    <c:v>High Bonus</c:v>
                  </c:pt>
                  <c:pt idx="3">
                    <c:v>Normal Bonus</c:v>
                  </c:pt>
                  <c:pt idx="4">
                    <c:v>Normal Bonus</c:v>
                  </c:pt>
                  <c:pt idx="5">
                    <c:v>High Bonus</c:v>
                  </c:pt>
                  <c:pt idx="6">
                    <c:v>Normal Bonus</c:v>
                  </c:pt>
                  <c:pt idx="7">
                    <c:v>Normal Bonus</c:v>
                  </c:pt>
                  <c:pt idx="8">
                    <c:v>Normal Bonus</c:v>
                  </c:pt>
                  <c:pt idx="9">
                    <c:v>Normal Bonus</c:v>
                  </c:pt>
                </c:lvl>
                <c:lvl>
                  <c:pt idx="0">
                    <c:v>Normal</c:v>
                  </c:pt>
                  <c:pt idx="1">
                    <c:v>High Salary</c:v>
                  </c:pt>
                  <c:pt idx="2">
                    <c:v>Normal</c:v>
                  </c:pt>
                  <c:pt idx="3">
                    <c:v>Normal</c:v>
                  </c:pt>
                  <c:pt idx="4">
                    <c:v>High Salary</c:v>
                  </c:pt>
                  <c:pt idx="5">
                    <c:v>Normal</c:v>
                  </c:pt>
                  <c:pt idx="6">
                    <c:v>High Salary</c:v>
                  </c:pt>
                  <c:pt idx="7">
                    <c:v>High Salary</c:v>
                  </c:pt>
                  <c:pt idx="8">
                    <c:v>Normal</c:v>
                  </c:pt>
                  <c:pt idx="9">
                    <c:v>Normal</c:v>
                  </c:pt>
                </c:lvl>
                <c:lvl>
                  <c:pt idx="0">
                    <c:v>1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5</c:v>
                  </c:pt>
                  <c:pt idx="4">
                    <c:v>2</c:v>
                  </c:pt>
                  <c:pt idx="5">
                    <c:v>4</c:v>
                  </c:pt>
                  <c:pt idx="6">
                    <c:v>2</c:v>
                  </c:pt>
                  <c:pt idx="7">
                    <c:v>2</c:v>
                  </c:pt>
                  <c:pt idx="8">
                    <c:v>1</c:v>
                  </c:pt>
                  <c:pt idx="9">
                    <c:v>4</c:v>
                  </c:pt>
                </c:lvl>
              </c:multiLvlStrCache>
            </c:multiLvlStrRef>
          </c:cat>
          <c:val>
            <c:numRef>
              <c:f>Sheet6!$T$2:$T$11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E0-46EF-B581-797AA03DF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32127"/>
        <c:axId val="153139807"/>
      </c:lineChart>
      <c:catAx>
        <c:axId val="1531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39807"/>
        <c:crosses val="autoZero"/>
        <c:auto val="1"/>
        <c:lblAlgn val="ctr"/>
        <c:lblOffset val="100"/>
        <c:noMultiLvlLbl val="0"/>
      </c:catAx>
      <c:valAx>
        <c:axId val="15313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/>
    <cx:plotArea>
      <cx:plotAreaRegion>
        <cx:series layoutId="clusteredColumn" uniqueId="{B8EC3CC2-F465-449C-B8F3-A717CF3722D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SALARY PERFORMANCE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994A4C3E-0C4F-4540-9335-1DFEDAD95FAA}" formatIdx="0">
          <cx:tx>
            <cx:txData>
              <cx:f>_xlchart.v1.0</cx:f>
              <cx:v>Emp ID</cx:v>
            </cx:txData>
          </cx:tx>
          <cx:dataId val="0"/>
          <cx:layoutPr>
            <cx:binning intervalClosed="r"/>
          </cx:layoutPr>
        </cx:series>
        <cx:series layoutId="clusteredColumn" hidden="1" uniqueId="{324A1C3B-07CB-469A-A26E-88E45FC20BC0}" formatIdx="1">
          <cx:tx>
            <cx:txData>
              <cx:f>_xlchart.v1.2</cx:f>
              <cx:v>Name</cx:v>
            </cx:txData>
          </cx:tx>
          <cx:dataId val="1"/>
          <cx:layoutPr>
            <cx:binning intervalClosed="r"/>
          </cx:layoutPr>
        </cx:series>
        <cx:series layoutId="clusteredColumn" hidden="1" uniqueId="{C3453803-C5B4-4603-8E19-C05572AD9CAA}" formatIdx="2">
          <cx:tx>
            <cx:txData>
              <cx:f>_xlchart.v1.4</cx:f>
              <cx:v>Department</cx:v>
            </cx:txData>
          </cx:tx>
          <cx:dataId val="2"/>
          <cx:layoutPr>
            <cx:binning intervalClosed="r"/>
          </cx:layoutPr>
        </cx:series>
        <cx:series layoutId="clusteredColumn" hidden="1" uniqueId="{34E3AB9D-7896-4B96-88F1-6C6F03A72E4E}" formatIdx="3">
          <cx:tx>
            <cx:txData>
              <cx:f>_xlchart.v1.6</cx:f>
              <cx:v>Join date</cx:v>
            </cx:txData>
          </cx:tx>
          <cx:dataId val="3"/>
          <cx:layoutPr>
            <cx:binning intervalClosed="r"/>
          </cx:layoutPr>
        </cx:series>
        <cx:series layoutId="clusteredColumn" hidden="1" uniqueId="{E54B86B4-DB11-47C9-B2B7-659A758E19D7}" formatIdx="4">
          <cx:tx>
            <cx:txData>
              <cx:f>_xlchart.v1.8</cx:f>
              <cx:v>Salary</cx:v>
            </cx:txData>
          </cx:tx>
          <cx:dataId val="4"/>
          <cx:layoutPr>
            <cx:binning intervalClosed="r"/>
          </cx:layoutPr>
        </cx:series>
        <cx:series layoutId="clusteredColumn" hidden="1" uniqueId="{73276DD2-CA46-40BA-987A-2663CA08BE68}" formatIdx="5">
          <cx:tx>
            <cx:txData>
              <cx:f>_xlchart.v1.10</cx:f>
              <cx:v>Bonus Eligible</cx:v>
            </cx:txData>
          </cx:tx>
          <cx:dataId val="5"/>
          <cx:layoutPr>
            <cx:binning intervalClosed="r"/>
          </cx:layoutPr>
        </cx:series>
        <cx:series layoutId="clusteredColumn" hidden="1" uniqueId="{7CBC7674-5644-48B1-B53C-0FE4DB0194D2}" formatIdx="6">
          <cx:tx>
            <cx:txData>
              <cx:f>_xlchart.v1.12</cx:f>
              <cx:v>Performance</cx:v>
            </cx:txData>
          </cx:tx>
          <cx:dataId val="6"/>
          <cx:layoutPr>
            <cx:binning intervalClosed="r"/>
          </cx:layoutPr>
        </cx:series>
        <cx:series layoutId="clusteredColumn" hidden="1" uniqueId="{E4CEC02B-F9A4-4C9C-86BA-FEAE1750C871}" formatIdx="7">
          <cx:tx>
            <cx:txData>
              <cx:f>_xlchart.v1.14</cx:f>
              <cx:v>Calculate bonus</cx:v>
            </cx:txData>
          </cx:tx>
          <cx:dataId val="7"/>
          <cx:layoutPr>
            <cx:binning intervalClosed="r"/>
          </cx:layoutPr>
        </cx:series>
        <cx:series layoutId="clusteredColumn" hidden="1" uniqueId="{4AB63A5B-AC2C-485D-AD92-3DA13A551C2E}" formatIdx="8">
          <cx:tx>
            <cx:txData>
              <cx:f>_xlchart.v1.16</cx:f>
              <cx:v>Nested if example</cx:v>
            </cx:txData>
          </cx:tx>
          <cx:dataId val="8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80366</xdr:colOff>
      <xdr:row>0</xdr:row>
      <xdr:rowOff>185142</xdr:rowOff>
    </xdr:from>
    <xdr:to>
      <xdr:col>15</xdr:col>
      <xdr:colOff>267890</xdr:colOff>
      <xdr:row>15</xdr:row>
      <xdr:rowOff>148828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1D7B-5E07-C4EF-0F28-BEF94A444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699492</xdr:colOff>
      <xdr:row>1</xdr:row>
      <xdr:rowOff>36314</xdr:rowOff>
    </xdr:from>
    <xdr:to>
      <xdr:col>12</xdr:col>
      <xdr:colOff>288726</xdr:colOff>
      <xdr:row>15</xdr:row>
      <xdr:rowOff>112514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3B8A79-073C-1069-8277-0D1458AD5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3</xdr:row>
      <xdr:rowOff>119061</xdr:rowOff>
    </xdr:from>
    <xdr:to>
      <xdr:col>23</xdr:col>
      <xdr:colOff>171450</xdr:colOff>
      <xdr:row>33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CCDF67-41BF-4B36-230E-779850D54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10596</xdr:colOff>
      <xdr:row>0</xdr:row>
      <xdr:rowOff>134592</xdr:rowOff>
    </xdr:from>
    <xdr:to>
      <xdr:col>19</xdr:col>
      <xdr:colOff>74097</xdr:colOff>
      <xdr:row>37</xdr:row>
      <xdr:rowOff>178077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BDF84C-49AE-1C0E-7EDB-9074B949F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493" y="134592"/>
          <a:ext cx="7393609" cy="69387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1797706</xdr:colOff>
      <xdr:row>14</xdr:row>
      <xdr:rowOff>84519</xdr:rowOff>
    </xdr:from>
    <xdr:to>
      <xdr:col>13</xdr:col>
      <xdr:colOff>788275</xdr:colOff>
      <xdr:row>38</xdr:row>
      <xdr:rowOff>186120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D4A6509-756D-245A-1D59-4C729BD038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8006" y="2751519"/>
              <a:ext cx="6505794" cy="46736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472964</xdr:colOff>
      <xdr:row>15</xdr:row>
      <xdr:rowOff>18830</xdr:rowOff>
    </xdr:from>
    <xdr:to>
      <xdr:col>9</xdr:col>
      <xdr:colOff>1554654</xdr:colOff>
      <xdr:row>42</xdr:row>
      <xdr:rowOff>43792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19F03FA-6E15-BA1D-02C1-9D23B3C2A3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964" y="2876330"/>
              <a:ext cx="7291990" cy="51684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680982</xdr:colOff>
      <xdr:row>14</xdr:row>
      <xdr:rowOff>84520</xdr:rowOff>
    </xdr:from>
    <xdr:to>
      <xdr:col>13</xdr:col>
      <xdr:colOff>2058275</xdr:colOff>
      <xdr:row>40</xdr:row>
      <xdr:rowOff>98534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C3C432-88BB-9CCD-71ED-3CC6A0137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451068</xdr:colOff>
      <xdr:row>15</xdr:row>
      <xdr:rowOff>7882</xdr:rowOff>
    </xdr:from>
    <xdr:to>
      <xdr:col>19</xdr:col>
      <xdr:colOff>10947</xdr:colOff>
      <xdr:row>37</xdr:row>
      <xdr:rowOff>153275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C057FF-BE57-6AB1-D125-B5ED1944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FCDB-4AF6-4218-8518-DBCE739984EF}">
  <dimension ref="A1:E17"/>
  <sheetViews>
    <sheetView tabSelected="1" topLeftCell="C3" zoomScale="160" workbookViewId="0">
      <selection activeCell="E3" sqref="E1:E1048576"/>
    </sheetView>
  </sheetViews>
  <sheetFormatPr defaultRowHeight="15"/>
  <cols>
    <col min="3" max="3" width="10.7109375" customWidth="1"/>
    <col min="5" max="5" width="11" bestFit="1" customWidth="1"/>
  </cols>
  <sheetData>
    <row r="1" spans="1:5" ht="60">
      <c r="A1" s="1" t="s">
        <v>0</v>
      </c>
      <c r="B1" s="3" t="s">
        <v>2</v>
      </c>
      <c r="C1" s="3" t="s">
        <v>3</v>
      </c>
      <c r="D1" s="7" t="s">
        <v>4</v>
      </c>
      <c r="E1" t="s">
        <v>5</v>
      </c>
    </row>
    <row r="2" spans="1:5">
      <c r="A2" s="4">
        <v>2010</v>
      </c>
      <c r="B2" s="5">
        <v>18500</v>
      </c>
      <c r="C2" s="5"/>
      <c r="E2" s="8">
        <f>SUM(B2:B16)/15</f>
        <v>38542.066666666666</v>
      </c>
    </row>
    <row r="3" spans="1:5">
      <c r="A3" s="4">
        <v>2010</v>
      </c>
      <c r="B3" s="5">
        <v>26400</v>
      </c>
      <c r="C3" s="5">
        <f>(B3-B2)</f>
        <v>7900</v>
      </c>
      <c r="D3" s="6">
        <f>(C3/B2)</f>
        <v>0.42702702702702705</v>
      </c>
    </row>
    <row r="4" spans="1:5">
      <c r="A4" s="4">
        <v>2010</v>
      </c>
      <c r="B4" s="5">
        <v>31050</v>
      </c>
      <c r="C4" s="5">
        <f t="shared" ref="C4:C15" si="0">(B4-B3)</f>
        <v>4650</v>
      </c>
      <c r="D4" s="6">
        <f t="shared" ref="D4:D15" si="1">(C4/B3)</f>
        <v>0.17613636363636365</v>
      </c>
    </row>
    <row r="5" spans="1:5">
      <c r="A5" s="4">
        <v>2010</v>
      </c>
      <c r="B5" s="5">
        <v>29600</v>
      </c>
      <c r="C5" s="5">
        <f t="shared" si="0"/>
        <v>-1450</v>
      </c>
      <c r="D5" s="6">
        <f t="shared" si="1"/>
        <v>-4.6698872785829307E-2</v>
      </c>
    </row>
    <row r="6" spans="1:5">
      <c r="A6" s="4">
        <v>2010</v>
      </c>
      <c r="B6" s="5">
        <v>28006</v>
      </c>
      <c r="C6" s="5">
        <f t="shared" si="0"/>
        <v>-1594</v>
      </c>
      <c r="D6" s="6">
        <f t="shared" si="1"/>
        <v>-5.3851351351351349E-2</v>
      </c>
    </row>
    <row r="7" spans="1:5">
      <c r="A7" s="4">
        <v>2010</v>
      </c>
      <c r="B7" s="5">
        <v>26343</v>
      </c>
      <c r="C7" s="5">
        <f t="shared" si="0"/>
        <v>-1663</v>
      </c>
      <c r="D7" s="6">
        <f t="shared" si="1"/>
        <v>-5.9380132828679572E-2</v>
      </c>
    </row>
    <row r="8" spans="1:5">
      <c r="A8" s="4">
        <v>2010</v>
      </c>
      <c r="B8" s="5">
        <v>28623</v>
      </c>
      <c r="C8" s="5">
        <f t="shared" si="0"/>
        <v>2280</v>
      </c>
      <c r="D8" s="6">
        <f t="shared" si="1"/>
        <v>8.6550506775993616E-2</v>
      </c>
    </row>
    <row r="9" spans="1:5">
      <c r="A9" s="4">
        <v>2010</v>
      </c>
      <c r="B9" s="5">
        <v>29667</v>
      </c>
      <c r="C9" s="5">
        <f t="shared" si="0"/>
        <v>1044</v>
      </c>
      <c r="D9" s="6">
        <f t="shared" si="1"/>
        <v>3.64741641337386E-2</v>
      </c>
    </row>
    <row r="10" spans="1:5">
      <c r="A10" s="4">
        <v>2010</v>
      </c>
      <c r="B10" s="5">
        <v>31438</v>
      </c>
      <c r="C10" s="5">
        <f t="shared" si="0"/>
        <v>1771</v>
      </c>
      <c r="D10" s="6">
        <f t="shared" si="1"/>
        <v>5.9695958472376714E-2</v>
      </c>
    </row>
    <row r="11" spans="1:5">
      <c r="A11" s="4">
        <v>2010</v>
      </c>
      <c r="B11" s="5">
        <v>35220</v>
      </c>
      <c r="C11" s="5">
        <f t="shared" si="0"/>
        <v>3782</v>
      </c>
      <c r="D11" s="6">
        <f t="shared" si="1"/>
        <v>0.12030027355429734</v>
      </c>
    </row>
    <row r="12" spans="1:5">
      <c r="A12" s="4">
        <v>2010</v>
      </c>
      <c r="B12" s="5">
        <v>48651</v>
      </c>
      <c r="C12" s="5">
        <f t="shared" si="0"/>
        <v>13431</v>
      </c>
      <c r="D12" s="6">
        <f t="shared" si="1"/>
        <v>0.38134582623509372</v>
      </c>
    </row>
    <row r="13" spans="1:5">
      <c r="A13" s="4">
        <v>2010</v>
      </c>
      <c r="B13" s="5">
        <v>48720</v>
      </c>
      <c r="C13" s="5">
        <f t="shared" si="0"/>
        <v>69</v>
      </c>
      <c r="D13" s="6">
        <f t="shared" si="1"/>
        <v>1.4182647838687796E-3</v>
      </c>
    </row>
    <row r="14" spans="1:5">
      <c r="A14" s="4">
        <v>2010</v>
      </c>
      <c r="B14" s="5">
        <v>52670</v>
      </c>
      <c r="C14" s="5">
        <f t="shared" si="0"/>
        <v>3950</v>
      </c>
      <c r="D14" s="6">
        <f t="shared" si="1"/>
        <v>8.1075533661740556E-2</v>
      </c>
    </row>
    <row r="15" spans="1:5">
      <c r="A15" s="4">
        <v>2010</v>
      </c>
      <c r="B15" s="5">
        <v>65330</v>
      </c>
      <c r="C15" s="5">
        <f t="shared" si="0"/>
        <v>12660</v>
      </c>
      <c r="D15" s="6">
        <f t="shared" si="1"/>
        <v>0.24036453389026011</v>
      </c>
    </row>
    <row r="16" spans="1:5">
      <c r="A16" s="4">
        <v>2010</v>
      </c>
      <c r="B16" s="5">
        <v>77913</v>
      </c>
      <c r="C16" s="5"/>
    </row>
    <row r="17" spans="3:3">
      <c r="C17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4F18-A456-4B65-B251-F8C9A8CF5A43}">
  <dimension ref="A1:D16"/>
  <sheetViews>
    <sheetView zoomScale="103" workbookViewId="0">
      <selection activeCell="D29" sqref="D29"/>
    </sheetView>
  </sheetViews>
  <sheetFormatPr defaultRowHeight="15"/>
  <cols>
    <col min="3" max="4" width="10.140625" bestFit="1" customWidth="1"/>
  </cols>
  <sheetData>
    <row r="1" spans="1:4" ht="30">
      <c r="A1" s="1" t="s">
        <v>0</v>
      </c>
      <c r="B1" s="3" t="s">
        <v>6</v>
      </c>
      <c r="C1" s="3" t="s">
        <v>7</v>
      </c>
      <c r="D1" t="s">
        <v>8</v>
      </c>
    </row>
    <row r="2" spans="1:4">
      <c r="A2" s="4">
        <v>2010</v>
      </c>
      <c r="B2" s="5">
        <v>27255</v>
      </c>
      <c r="C2" s="2" t="s">
        <v>1</v>
      </c>
    </row>
    <row r="3" spans="1:4">
      <c r="A3" s="4">
        <v>2011</v>
      </c>
      <c r="B3" s="5">
        <v>56900</v>
      </c>
      <c r="C3" s="5">
        <f>(B3-B2)</f>
        <v>29645</v>
      </c>
      <c r="D3" s="9">
        <f>C3/B2</f>
        <v>1.0876903320491653</v>
      </c>
    </row>
    <row r="4" spans="1:4">
      <c r="A4" s="4">
        <v>2012</v>
      </c>
      <c r="B4" s="5">
        <v>56290</v>
      </c>
      <c r="C4" s="5">
        <f t="shared" ref="C4:C16" si="0">(B4-B3)</f>
        <v>-610</v>
      </c>
      <c r="D4" s="9">
        <f t="shared" ref="D4:D16" si="1">C4/B3</f>
        <v>-1.0720562390158173E-2</v>
      </c>
    </row>
    <row r="5" spans="1:4">
      <c r="A5" s="4">
        <v>2013</v>
      </c>
      <c r="B5" s="5">
        <v>54030</v>
      </c>
      <c r="C5" s="5">
        <f t="shared" si="0"/>
        <v>-2260</v>
      </c>
      <c r="D5" s="9">
        <f t="shared" si="1"/>
        <v>-4.0149227216201809E-2</v>
      </c>
    </row>
    <row r="6" spans="1:4">
      <c r="A6" s="4">
        <v>2014</v>
      </c>
      <c r="B6" s="5">
        <v>43070</v>
      </c>
      <c r="C6" s="5">
        <f t="shared" si="0"/>
        <v>-10960</v>
      </c>
      <c r="D6" s="9">
        <f t="shared" si="1"/>
        <v>-0.20285026836942438</v>
      </c>
    </row>
    <row r="7" spans="1:4">
      <c r="A7" s="4">
        <v>2015</v>
      </c>
      <c r="B7" s="5">
        <v>37825</v>
      </c>
      <c r="C7" s="5">
        <f t="shared" si="0"/>
        <v>-5245</v>
      </c>
      <c r="D7" s="9">
        <f t="shared" si="1"/>
        <v>-0.12177850011609008</v>
      </c>
    </row>
    <row r="8" spans="1:4">
      <c r="A8" s="4">
        <v>2016</v>
      </c>
      <c r="B8" s="5">
        <v>36990</v>
      </c>
      <c r="C8" s="5">
        <f t="shared" si="0"/>
        <v>-835</v>
      </c>
      <c r="D8" s="9">
        <f t="shared" si="1"/>
        <v>-2.2075346992729675E-2</v>
      </c>
    </row>
    <row r="9" spans="1:4">
      <c r="A9" s="4">
        <v>2017</v>
      </c>
      <c r="B9" s="5">
        <v>37825</v>
      </c>
      <c r="C9" s="5">
        <f t="shared" si="0"/>
        <v>835</v>
      </c>
      <c r="D9" s="9">
        <f t="shared" si="1"/>
        <v>2.2573668559070018E-2</v>
      </c>
    </row>
    <row r="10" spans="1:4">
      <c r="A10" s="4">
        <v>2018</v>
      </c>
      <c r="B10" s="5">
        <v>41400</v>
      </c>
      <c r="C10" s="5">
        <f t="shared" si="0"/>
        <v>3575</v>
      </c>
      <c r="D10" s="9">
        <f t="shared" si="1"/>
        <v>9.4514210178453406E-2</v>
      </c>
    </row>
    <row r="11" spans="1:4">
      <c r="A11" s="4">
        <v>2019</v>
      </c>
      <c r="B11" s="5">
        <v>40600</v>
      </c>
      <c r="C11" s="5">
        <f t="shared" si="0"/>
        <v>-800</v>
      </c>
      <c r="D11" s="9">
        <f t="shared" si="1"/>
        <v>-1.932367149758454E-2</v>
      </c>
    </row>
    <row r="12" spans="1:4">
      <c r="A12" s="4">
        <v>2020</v>
      </c>
      <c r="B12" s="5">
        <v>63435</v>
      </c>
      <c r="C12" s="5">
        <f t="shared" si="0"/>
        <v>22835</v>
      </c>
      <c r="D12" s="9">
        <f t="shared" si="1"/>
        <v>0.56243842364532015</v>
      </c>
    </row>
    <row r="13" spans="1:4">
      <c r="A13" s="4">
        <v>2021</v>
      </c>
      <c r="B13" s="5">
        <v>62572</v>
      </c>
      <c r="C13" s="5">
        <f t="shared" si="0"/>
        <v>-863</v>
      </c>
      <c r="D13" s="9">
        <f t="shared" si="1"/>
        <v>-1.3604477023725072E-2</v>
      </c>
    </row>
    <row r="14" spans="1:4">
      <c r="A14" s="4">
        <v>2022</v>
      </c>
      <c r="B14" s="5">
        <v>55100</v>
      </c>
      <c r="C14" s="5">
        <f t="shared" si="0"/>
        <v>-7472</v>
      </c>
      <c r="D14" s="9">
        <f t="shared" si="1"/>
        <v>-0.11941443457137378</v>
      </c>
    </row>
    <row r="15" spans="1:4">
      <c r="A15" s="4">
        <v>2023</v>
      </c>
      <c r="B15" s="5">
        <v>78600</v>
      </c>
      <c r="C15" s="5">
        <f t="shared" si="0"/>
        <v>23500</v>
      </c>
      <c r="D15" s="9">
        <f t="shared" si="1"/>
        <v>0.426497277676951</v>
      </c>
    </row>
    <row r="16" spans="1:4">
      <c r="A16" s="4">
        <v>2024</v>
      </c>
      <c r="B16" s="5">
        <v>95700</v>
      </c>
      <c r="C16" s="5">
        <f t="shared" si="0"/>
        <v>17100</v>
      </c>
      <c r="D16" s="9">
        <f t="shared" si="1"/>
        <v>0.21755725190839695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67D0-F850-47E9-B179-49BF439E3933}">
  <dimension ref="A1:M308"/>
  <sheetViews>
    <sheetView zoomScale="121" workbookViewId="0">
      <selection activeCell="N1" sqref="N1"/>
    </sheetView>
  </sheetViews>
  <sheetFormatPr defaultRowHeight="15"/>
  <cols>
    <col min="1" max="1" width="27.85546875" bestFit="1" customWidth="1"/>
    <col min="2" max="2" width="29" bestFit="1" customWidth="1"/>
    <col min="3" max="3" width="5.140625" bestFit="1" customWidth="1"/>
    <col min="4" max="4" width="3.140625" bestFit="1" customWidth="1"/>
    <col min="5" max="5" width="11.42578125" bestFit="1" customWidth="1"/>
    <col min="6" max="6" width="14.140625" bestFit="1" customWidth="1"/>
    <col min="7" max="7" width="4.140625" bestFit="1" customWidth="1"/>
    <col min="8" max="8" width="6.85546875" bestFit="1" customWidth="1"/>
    <col min="9" max="9" width="5.140625" bestFit="1" customWidth="1"/>
    <col min="10" max="10" width="15" bestFit="1" customWidth="1"/>
    <col min="11" max="11" width="12.28515625" bestFit="1" customWidth="1"/>
    <col min="12" max="12" width="23" bestFit="1" customWidth="1"/>
    <col min="13" max="13" width="24.5703125" bestFit="1" customWidth="1"/>
  </cols>
  <sheetData>
    <row r="1" spans="1:13">
      <c r="A1" s="20" t="s">
        <v>134</v>
      </c>
      <c r="B1" t="str">
        <f>PROPER(A1)</f>
        <v xml:space="preserve">Date     Formation  List Random 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</row>
    <row r="2" spans="1:13">
      <c r="A2" s="13">
        <f ca="1">RANDBETWEEN(DATE(2003,7,23),TODAY())</f>
        <v>44735</v>
      </c>
      <c r="B2">
        <f ca="1">MONTH(A2)</f>
        <v>6</v>
      </c>
      <c r="C2">
        <f ca="1">YEAR(A2)</f>
        <v>2022</v>
      </c>
      <c r="D2">
        <f ca="1">DAY(A2)</f>
        <v>23</v>
      </c>
      <c r="E2" t="str">
        <f ca="1">TEXT(A2,"dddd")</f>
        <v>Thursday</v>
      </c>
      <c r="F2" s="12" cm="1">
        <f t="array" ref="F2:F308">_xlfn.SEQUENCE(307,1,DATE(2025,2,28),1)</f>
        <v>45716</v>
      </c>
      <c r="G2">
        <f>DAY(F2)</f>
        <v>28</v>
      </c>
      <c r="H2">
        <f>MONTH(F2)</f>
        <v>2</v>
      </c>
      <c r="I2">
        <f>YEAR(F2)</f>
        <v>2025</v>
      </c>
      <c r="J2" t="str">
        <f>TEXT(F2,"dddd")</f>
        <v>Friday</v>
      </c>
      <c r="K2" t="str">
        <f>TEXT(F2,"mmmm")</f>
        <v>February</v>
      </c>
      <c r="L2" t="str">
        <f ca="1">DATEDIF(F2,TODAY(),"Y")&amp;" YEAR "&amp;DATEDIF(F2,TODAY(),"YM")&amp;" MONTH "&amp;DATEDIF(F2,TODAY(),"MD")&amp;" DAY"</f>
        <v>1 YEAR 2 MONTH 24 DAY</v>
      </c>
      <c r="M2" t="str">
        <f ca="1">DATEDIF(A2,TODAY(),"Y")&amp;" YEAR "&amp;DATEDIF(A2,TODAY(),"YM")&amp;" MONTH "&amp;DATEDIF(A2,TODAY(),"MD")&amp;" DAY "</f>
        <v xml:space="preserve">3 YEAR 10 MONTH 29 DAY </v>
      </c>
    </row>
    <row r="3" spans="1:13">
      <c r="A3" s="13">
        <f t="shared" ref="A3:A66" ca="1" si="0">RANDBETWEEN(DATE(2003,7,23),TODAY())</f>
        <v>40368</v>
      </c>
      <c r="B3">
        <f t="shared" ref="B3:B66" ca="1" si="1">MONTH(A3)</f>
        <v>7</v>
      </c>
      <c r="C3">
        <f t="shared" ref="C3:C66" ca="1" si="2">YEAR(A3)</f>
        <v>2010</v>
      </c>
      <c r="D3">
        <f t="shared" ref="D3:D66" ca="1" si="3">DAY(A3)</f>
        <v>9</v>
      </c>
      <c r="E3" t="str">
        <f t="shared" ref="E3:E66" ca="1" si="4">TEXT(A3,"dddd")</f>
        <v>Friday</v>
      </c>
      <c r="F3" s="12">
        <v>45717</v>
      </c>
      <c r="G3">
        <f t="shared" ref="G3:G66" si="5">DAY(F3)</f>
        <v>1</v>
      </c>
      <c r="H3">
        <f t="shared" ref="H3:H66" si="6">MONTH(F3)</f>
        <v>3</v>
      </c>
      <c r="I3">
        <f t="shared" ref="I3:I66" si="7">YEAR(F3)</f>
        <v>2025</v>
      </c>
      <c r="J3" t="str">
        <f t="shared" ref="J3:J66" si="8">TEXT(F3,"dddd")</f>
        <v>Saturday</v>
      </c>
      <c r="K3" t="str">
        <f t="shared" ref="K3:K66" si="9">TEXT(F3,"mmmm")</f>
        <v>March</v>
      </c>
      <c r="L3" t="str">
        <f t="shared" ref="L3:L66" ca="1" si="10">DATEDIF(F3,TODAY(),"Y")&amp;" YEAR "&amp;DATEDIF(F3,TODAY(),"YM")&amp;" MONTH "&amp;DATEDIF(F3,TODAY(),"MD")&amp;" DAY"</f>
        <v>1 YEAR 2 MONTH 21 DAY</v>
      </c>
      <c r="M3" t="str">
        <f t="shared" ref="M3:M66" ca="1" si="11">DATEDIF(A3,TODAY(),"Y")&amp;" YEAR "&amp;DATEDIF(A3,TODAY(),"YM")&amp;" MONTH "&amp;DATEDIF(A3,TODAY(),"MD")&amp;" DAY "</f>
        <v xml:space="preserve">15 YEAR 10 MONTH 13 DAY </v>
      </c>
    </row>
    <row r="4" spans="1:13">
      <c r="A4" s="13">
        <f t="shared" ca="1" si="0"/>
        <v>42206</v>
      </c>
      <c r="B4">
        <f t="shared" ca="1" si="1"/>
        <v>7</v>
      </c>
      <c r="C4">
        <f t="shared" ca="1" si="2"/>
        <v>2015</v>
      </c>
      <c r="D4">
        <f t="shared" ca="1" si="3"/>
        <v>21</v>
      </c>
      <c r="E4" t="str">
        <f t="shared" ca="1" si="4"/>
        <v>Tuesday</v>
      </c>
      <c r="F4" s="12">
        <v>45718</v>
      </c>
      <c r="G4">
        <f t="shared" si="5"/>
        <v>2</v>
      </c>
      <c r="H4">
        <f t="shared" si="6"/>
        <v>3</v>
      </c>
      <c r="I4">
        <f t="shared" si="7"/>
        <v>2025</v>
      </c>
      <c r="J4" t="str">
        <f t="shared" si="8"/>
        <v>Sunday</v>
      </c>
      <c r="K4" t="str">
        <f t="shared" si="9"/>
        <v>March</v>
      </c>
      <c r="L4" t="str">
        <f t="shared" ca="1" si="10"/>
        <v>1 YEAR 2 MONTH 20 DAY</v>
      </c>
      <c r="M4" t="str">
        <f t="shared" ca="1" si="11"/>
        <v xml:space="preserve">10 YEAR 10 MONTH 1 DAY </v>
      </c>
    </row>
    <row r="5" spans="1:13">
      <c r="A5" s="13">
        <f t="shared" ca="1" si="0"/>
        <v>40862</v>
      </c>
      <c r="B5">
        <f t="shared" ca="1" si="1"/>
        <v>11</v>
      </c>
      <c r="C5">
        <f t="shared" ca="1" si="2"/>
        <v>2011</v>
      </c>
      <c r="D5">
        <f t="shared" ca="1" si="3"/>
        <v>15</v>
      </c>
      <c r="E5" t="str">
        <f t="shared" ca="1" si="4"/>
        <v>Tuesday</v>
      </c>
      <c r="F5" s="12">
        <v>45719</v>
      </c>
      <c r="G5">
        <f t="shared" si="5"/>
        <v>3</v>
      </c>
      <c r="H5">
        <f t="shared" si="6"/>
        <v>3</v>
      </c>
      <c r="I5">
        <f t="shared" si="7"/>
        <v>2025</v>
      </c>
      <c r="J5" t="str">
        <f t="shared" si="8"/>
        <v>Monday</v>
      </c>
      <c r="K5" t="str">
        <f t="shared" si="9"/>
        <v>March</v>
      </c>
      <c r="L5" t="str">
        <f t="shared" ca="1" si="10"/>
        <v>1 YEAR 2 MONTH 19 DAY</v>
      </c>
      <c r="M5" t="str">
        <f t="shared" ca="1" si="11"/>
        <v xml:space="preserve">14 YEAR 6 MONTH 7 DAY </v>
      </c>
    </row>
    <row r="6" spans="1:13">
      <c r="A6" s="13">
        <f t="shared" ca="1" si="0"/>
        <v>44199</v>
      </c>
      <c r="B6">
        <f t="shared" ca="1" si="1"/>
        <v>1</v>
      </c>
      <c r="C6">
        <f t="shared" ca="1" si="2"/>
        <v>2021</v>
      </c>
      <c r="D6">
        <f t="shared" ca="1" si="3"/>
        <v>3</v>
      </c>
      <c r="E6" t="str">
        <f t="shared" ca="1" si="4"/>
        <v>Sunday</v>
      </c>
      <c r="F6" s="12">
        <v>45720</v>
      </c>
      <c r="G6">
        <f t="shared" si="5"/>
        <v>4</v>
      </c>
      <c r="H6">
        <f t="shared" si="6"/>
        <v>3</v>
      </c>
      <c r="I6">
        <f t="shared" si="7"/>
        <v>2025</v>
      </c>
      <c r="J6" t="str">
        <f t="shared" si="8"/>
        <v>Tuesday</v>
      </c>
      <c r="K6" t="str">
        <f t="shared" si="9"/>
        <v>March</v>
      </c>
      <c r="L6" t="str">
        <f t="shared" ca="1" si="10"/>
        <v>1 YEAR 2 MONTH 18 DAY</v>
      </c>
      <c r="M6" t="str">
        <f t="shared" ca="1" si="11"/>
        <v xml:space="preserve">5 YEAR 4 MONTH 19 DAY </v>
      </c>
    </row>
    <row r="7" spans="1:13">
      <c r="A7" s="13">
        <f t="shared" ca="1" si="0"/>
        <v>45998</v>
      </c>
      <c r="B7">
        <f t="shared" ca="1" si="1"/>
        <v>12</v>
      </c>
      <c r="C7">
        <f t="shared" ca="1" si="2"/>
        <v>2025</v>
      </c>
      <c r="D7">
        <f t="shared" ca="1" si="3"/>
        <v>7</v>
      </c>
      <c r="E7" t="str">
        <f t="shared" ca="1" si="4"/>
        <v>Sunday</v>
      </c>
      <c r="F7" s="12">
        <v>45721</v>
      </c>
      <c r="G7">
        <f t="shared" si="5"/>
        <v>5</v>
      </c>
      <c r="H7">
        <f t="shared" si="6"/>
        <v>3</v>
      </c>
      <c r="I7">
        <f t="shared" si="7"/>
        <v>2025</v>
      </c>
      <c r="J7" t="str">
        <f t="shared" si="8"/>
        <v>Wednesday</v>
      </c>
      <c r="K7" t="str">
        <f t="shared" si="9"/>
        <v>March</v>
      </c>
      <c r="L7" t="str">
        <f t="shared" ca="1" si="10"/>
        <v>1 YEAR 2 MONTH 17 DAY</v>
      </c>
      <c r="M7" t="str">
        <f t="shared" ca="1" si="11"/>
        <v xml:space="preserve">0 YEAR 5 MONTH 15 DAY </v>
      </c>
    </row>
    <row r="8" spans="1:13">
      <c r="A8" s="13">
        <f t="shared" ca="1" si="0"/>
        <v>45270</v>
      </c>
      <c r="B8">
        <f t="shared" ca="1" si="1"/>
        <v>12</v>
      </c>
      <c r="C8">
        <f t="shared" ca="1" si="2"/>
        <v>2023</v>
      </c>
      <c r="D8">
        <f t="shared" ca="1" si="3"/>
        <v>10</v>
      </c>
      <c r="E8" t="str">
        <f t="shared" ca="1" si="4"/>
        <v>Sunday</v>
      </c>
      <c r="F8" s="12">
        <v>45722</v>
      </c>
      <c r="G8">
        <f t="shared" si="5"/>
        <v>6</v>
      </c>
      <c r="H8">
        <f t="shared" si="6"/>
        <v>3</v>
      </c>
      <c r="I8">
        <f t="shared" si="7"/>
        <v>2025</v>
      </c>
      <c r="J8" t="str">
        <f t="shared" si="8"/>
        <v>Thursday</v>
      </c>
      <c r="K8" t="str">
        <f t="shared" si="9"/>
        <v>March</v>
      </c>
      <c r="L8" t="str">
        <f t="shared" ca="1" si="10"/>
        <v>1 YEAR 2 MONTH 16 DAY</v>
      </c>
      <c r="M8" t="str">
        <f t="shared" ca="1" si="11"/>
        <v xml:space="preserve">2 YEAR 5 MONTH 12 DAY </v>
      </c>
    </row>
    <row r="9" spans="1:13">
      <c r="A9" s="13">
        <f t="shared" ca="1" si="0"/>
        <v>40031</v>
      </c>
      <c r="B9">
        <f t="shared" ca="1" si="1"/>
        <v>8</v>
      </c>
      <c r="C9">
        <f t="shared" ca="1" si="2"/>
        <v>2009</v>
      </c>
      <c r="D9">
        <f t="shared" ca="1" si="3"/>
        <v>6</v>
      </c>
      <c r="E9" t="str">
        <f t="shared" ca="1" si="4"/>
        <v>Thursday</v>
      </c>
      <c r="F9" s="12">
        <v>45723</v>
      </c>
      <c r="G9">
        <f t="shared" si="5"/>
        <v>7</v>
      </c>
      <c r="H9">
        <f t="shared" si="6"/>
        <v>3</v>
      </c>
      <c r="I9">
        <f t="shared" si="7"/>
        <v>2025</v>
      </c>
      <c r="J9" t="str">
        <f t="shared" si="8"/>
        <v>Friday</v>
      </c>
      <c r="K9" t="str">
        <f t="shared" si="9"/>
        <v>March</v>
      </c>
      <c r="L9" t="str">
        <f t="shared" ca="1" si="10"/>
        <v>1 YEAR 2 MONTH 15 DAY</v>
      </c>
      <c r="M9" t="str">
        <f t="shared" ca="1" si="11"/>
        <v xml:space="preserve">16 YEAR 9 MONTH 16 DAY </v>
      </c>
    </row>
    <row r="10" spans="1:13">
      <c r="A10" s="13">
        <f t="shared" ca="1" si="0"/>
        <v>38372</v>
      </c>
      <c r="B10">
        <f t="shared" ca="1" si="1"/>
        <v>1</v>
      </c>
      <c r="C10">
        <f t="shared" ca="1" si="2"/>
        <v>2005</v>
      </c>
      <c r="D10">
        <f t="shared" ca="1" si="3"/>
        <v>20</v>
      </c>
      <c r="E10" t="str">
        <f t="shared" ca="1" si="4"/>
        <v>Thursday</v>
      </c>
      <c r="F10" s="12">
        <v>45724</v>
      </c>
      <c r="G10">
        <f t="shared" si="5"/>
        <v>8</v>
      </c>
      <c r="H10">
        <f t="shared" si="6"/>
        <v>3</v>
      </c>
      <c r="I10">
        <f t="shared" si="7"/>
        <v>2025</v>
      </c>
      <c r="J10" t="str">
        <f t="shared" si="8"/>
        <v>Saturday</v>
      </c>
      <c r="K10" t="str">
        <f t="shared" si="9"/>
        <v>March</v>
      </c>
      <c r="L10" t="str">
        <f t="shared" ca="1" si="10"/>
        <v>1 YEAR 2 MONTH 14 DAY</v>
      </c>
      <c r="M10" t="str">
        <f t="shared" ca="1" si="11"/>
        <v xml:space="preserve">21 YEAR 4 MONTH 2 DAY </v>
      </c>
    </row>
    <row r="11" spans="1:13">
      <c r="A11" s="13">
        <f t="shared" ca="1" si="0"/>
        <v>41422</v>
      </c>
      <c r="B11">
        <f t="shared" ca="1" si="1"/>
        <v>5</v>
      </c>
      <c r="C11">
        <f t="shared" ca="1" si="2"/>
        <v>2013</v>
      </c>
      <c r="D11">
        <f t="shared" ca="1" si="3"/>
        <v>28</v>
      </c>
      <c r="E11" t="str">
        <f t="shared" ca="1" si="4"/>
        <v>Tuesday</v>
      </c>
      <c r="F11" s="12">
        <v>45725</v>
      </c>
      <c r="G11">
        <f t="shared" si="5"/>
        <v>9</v>
      </c>
      <c r="H11">
        <f t="shared" si="6"/>
        <v>3</v>
      </c>
      <c r="I11">
        <f t="shared" si="7"/>
        <v>2025</v>
      </c>
      <c r="J11" t="str">
        <f t="shared" si="8"/>
        <v>Sunday</v>
      </c>
      <c r="K11" t="str">
        <f t="shared" si="9"/>
        <v>March</v>
      </c>
      <c r="L11" t="str">
        <f t="shared" ca="1" si="10"/>
        <v>1 YEAR 2 MONTH 13 DAY</v>
      </c>
      <c r="M11" t="str">
        <f t="shared" ca="1" si="11"/>
        <v xml:space="preserve">12 YEAR 11 MONTH 24 DAY </v>
      </c>
    </row>
    <row r="12" spans="1:13">
      <c r="A12" s="13">
        <f t="shared" ca="1" si="0"/>
        <v>37834</v>
      </c>
      <c r="B12">
        <f t="shared" ca="1" si="1"/>
        <v>8</v>
      </c>
      <c r="C12">
        <f t="shared" ca="1" si="2"/>
        <v>2003</v>
      </c>
      <c r="D12">
        <f t="shared" ca="1" si="3"/>
        <v>1</v>
      </c>
      <c r="E12" t="str">
        <f t="shared" ca="1" si="4"/>
        <v>Friday</v>
      </c>
      <c r="F12" s="12">
        <v>45726</v>
      </c>
      <c r="G12">
        <f t="shared" si="5"/>
        <v>10</v>
      </c>
      <c r="H12">
        <f t="shared" si="6"/>
        <v>3</v>
      </c>
      <c r="I12">
        <f t="shared" si="7"/>
        <v>2025</v>
      </c>
      <c r="J12" t="str">
        <f t="shared" si="8"/>
        <v>Monday</v>
      </c>
      <c r="K12" t="str">
        <f t="shared" si="9"/>
        <v>March</v>
      </c>
      <c r="L12" t="str">
        <f t="shared" ca="1" si="10"/>
        <v>1 YEAR 2 MONTH 12 DAY</v>
      </c>
      <c r="M12" t="str">
        <f t="shared" ca="1" si="11"/>
        <v xml:space="preserve">22 YEAR 9 MONTH 21 DAY </v>
      </c>
    </row>
    <row r="13" spans="1:13">
      <c r="A13" s="13">
        <f t="shared" ca="1" si="0"/>
        <v>40291</v>
      </c>
      <c r="B13">
        <f t="shared" ca="1" si="1"/>
        <v>4</v>
      </c>
      <c r="C13">
        <f t="shared" ca="1" si="2"/>
        <v>2010</v>
      </c>
      <c r="D13">
        <f t="shared" ca="1" si="3"/>
        <v>23</v>
      </c>
      <c r="E13" t="str">
        <f t="shared" ca="1" si="4"/>
        <v>Friday</v>
      </c>
      <c r="F13" s="12">
        <v>45727</v>
      </c>
      <c r="G13">
        <f t="shared" si="5"/>
        <v>11</v>
      </c>
      <c r="H13">
        <f t="shared" si="6"/>
        <v>3</v>
      </c>
      <c r="I13">
        <f t="shared" si="7"/>
        <v>2025</v>
      </c>
      <c r="J13" t="str">
        <f t="shared" si="8"/>
        <v>Tuesday</v>
      </c>
      <c r="K13" t="str">
        <f t="shared" si="9"/>
        <v>March</v>
      </c>
      <c r="L13" t="str">
        <f t="shared" ca="1" si="10"/>
        <v>1 YEAR 2 MONTH 11 DAY</v>
      </c>
      <c r="M13" t="str">
        <f t="shared" ca="1" si="11"/>
        <v xml:space="preserve">16 YEAR 0 MONTH 29 DAY </v>
      </c>
    </row>
    <row r="14" spans="1:13">
      <c r="A14" s="13">
        <f t="shared" ca="1" si="0"/>
        <v>44081</v>
      </c>
      <c r="B14">
        <f t="shared" ca="1" si="1"/>
        <v>9</v>
      </c>
      <c r="C14">
        <f t="shared" ca="1" si="2"/>
        <v>2020</v>
      </c>
      <c r="D14">
        <f t="shared" ca="1" si="3"/>
        <v>7</v>
      </c>
      <c r="E14" t="str">
        <f t="shared" ca="1" si="4"/>
        <v>Monday</v>
      </c>
      <c r="F14" s="12">
        <v>45728</v>
      </c>
      <c r="G14">
        <f t="shared" si="5"/>
        <v>12</v>
      </c>
      <c r="H14">
        <f t="shared" si="6"/>
        <v>3</v>
      </c>
      <c r="I14">
        <f t="shared" si="7"/>
        <v>2025</v>
      </c>
      <c r="J14" t="str">
        <f t="shared" si="8"/>
        <v>Wednesday</v>
      </c>
      <c r="K14" t="str">
        <f t="shared" si="9"/>
        <v>March</v>
      </c>
      <c r="L14" t="str">
        <f t="shared" ca="1" si="10"/>
        <v>1 YEAR 2 MONTH 10 DAY</v>
      </c>
      <c r="M14" t="str">
        <f t="shared" ca="1" si="11"/>
        <v xml:space="preserve">5 YEAR 8 MONTH 15 DAY </v>
      </c>
    </row>
    <row r="15" spans="1:13">
      <c r="A15" s="13">
        <f t="shared" ca="1" si="0"/>
        <v>45606</v>
      </c>
      <c r="B15">
        <f t="shared" ca="1" si="1"/>
        <v>11</v>
      </c>
      <c r="C15">
        <f t="shared" ca="1" si="2"/>
        <v>2024</v>
      </c>
      <c r="D15">
        <f t="shared" ca="1" si="3"/>
        <v>10</v>
      </c>
      <c r="E15" t="str">
        <f t="shared" ca="1" si="4"/>
        <v>Sunday</v>
      </c>
      <c r="F15" s="12">
        <v>45729</v>
      </c>
      <c r="G15">
        <f t="shared" si="5"/>
        <v>13</v>
      </c>
      <c r="H15">
        <f t="shared" si="6"/>
        <v>3</v>
      </c>
      <c r="I15">
        <f t="shared" si="7"/>
        <v>2025</v>
      </c>
      <c r="J15" t="str">
        <f t="shared" si="8"/>
        <v>Thursday</v>
      </c>
      <c r="K15" t="str">
        <f t="shared" si="9"/>
        <v>March</v>
      </c>
      <c r="L15" t="str">
        <f t="shared" ca="1" si="10"/>
        <v>1 YEAR 2 MONTH 9 DAY</v>
      </c>
      <c r="M15" t="str">
        <f t="shared" ca="1" si="11"/>
        <v xml:space="preserve">1 YEAR 6 MONTH 12 DAY </v>
      </c>
    </row>
    <row r="16" spans="1:13">
      <c r="A16" s="13">
        <f t="shared" ca="1" si="0"/>
        <v>40473</v>
      </c>
      <c r="B16">
        <f t="shared" ca="1" si="1"/>
        <v>10</v>
      </c>
      <c r="C16">
        <f t="shared" ca="1" si="2"/>
        <v>2010</v>
      </c>
      <c r="D16">
        <f t="shared" ca="1" si="3"/>
        <v>22</v>
      </c>
      <c r="E16" t="str">
        <f t="shared" ca="1" si="4"/>
        <v>Friday</v>
      </c>
      <c r="F16" s="12">
        <v>45730</v>
      </c>
      <c r="G16">
        <f t="shared" si="5"/>
        <v>14</v>
      </c>
      <c r="H16">
        <f t="shared" si="6"/>
        <v>3</v>
      </c>
      <c r="I16">
        <f t="shared" si="7"/>
        <v>2025</v>
      </c>
      <c r="J16" t="str">
        <f t="shared" si="8"/>
        <v>Friday</v>
      </c>
      <c r="K16" t="str">
        <f t="shared" si="9"/>
        <v>March</v>
      </c>
      <c r="L16" t="str">
        <f t="shared" ca="1" si="10"/>
        <v>1 YEAR 2 MONTH 8 DAY</v>
      </c>
      <c r="M16" t="str">
        <f t="shared" ca="1" si="11"/>
        <v xml:space="preserve">15 YEAR 7 MONTH 0 DAY </v>
      </c>
    </row>
    <row r="17" spans="1:13">
      <c r="A17" s="13">
        <f t="shared" ca="1" si="0"/>
        <v>45102</v>
      </c>
      <c r="B17">
        <f t="shared" ca="1" si="1"/>
        <v>6</v>
      </c>
      <c r="C17">
        <f t="shared" ca="1" si="2"/>
        <v>2023</v>
      </c>
      <c r="D17">
        <f t="shared" ca="1" si="3"/>
        <v>25</v>
      </c>
      <c r="E17" t="str">
        <f t="shared" ca="1" si="4"/>
        <v>Sunday</v>
      </c>
      <c r="F17" s="12">
        <v>45731</v>
      </c>
      <c r="G17">
        <f t="shared" si="5"/>
        <v>15</v>
      </c>
      <c r="H17">
        <f t="shared" si="6"/>
        <v>3</v>
      </c>
      <c r="I17">
        <f t="shared" si="7"/>
        <v>2025</v>
      </c>
      <c r="J17" t="str">
        <f t="shared" si="8"/>
        <v>Saturday</v>
      </c>
      <c r="K17" t="str">
        <f t="shared" si="9"/>
        <v>March</v>
      </c>
      <c r="L17" t="str">
        <f t="shared" ca="1" si="10"/>
        <v>1 YEAR 2 MONTH 7 DAY</v>
      </c>
      <c r="M17" t="str">
        <f t="shared" ca="1" si="11"/>
        <v xml:space="preserve">2 YEAR 10 MONTH 27 DAY </v>
      </c>
    </row>
    <row r="18" spans="1:13">
      <c r="A18" s="13">
        <f t="shared" ca="1" si="0"/>
        <v>39847</v>
      </c>
      <c r="B18">
        <f t="shared" ca="1" si="1"/>
        <v>2</v>
      </c>
      <c r="C18">
        <f t="shared" ca="1" si="2"/>
        <v>2009</v>
      </c>
      <c r="D18">
        <f t="shared" ca="1" si="3"/>
        <v>3</v>
      </c>
      <c r="E18" t="str">
        <f t="shared" ca="1" si="4"/>
        <v>Tuesday</v>
      </c>
      <c r="F18" s="12">
        <v>45732</v>
      </c>
      <c r="G18">
        <f t="shared" si="5"/>
        <v>16</v>
      </c>
      <c r="H18">
        <f t="shared" si="6"/>
        <v>3</v>
      </c>
      <c r="I18">
        <f t="shared" si="7"/>
        <v>2025</v>
      </c>
      <c r="J18" t="str">
        <f t="shared" si="8"/>
        <v>Sunday</v>
      </c>
      <c r="K18" t="str">
        <f t="shared" si="9"/>
        <v>March</v>
      </c>
      <c r="L18" t="str">
        <f t="shared" ca="1" si="10"/>
        <v>1 YEAR 2 MONTH 6 DAY</v>
      </c>
      <c r="M18" t="str">
        <f t="shared" ca="1" si="11"/>
        <v xml:space="preserve">17 YEAR 3 MONTH 19 DAY </v>
      </c>
    </row>
    <row r="19" spans="1:13">
      <c r="A19" s="13">
        <f t="shared" ca="1" si="0"/>
        <v>39316</v>
      </c>
      <c r="B19">
        <f t="shared" ca="1" si="1"/>
        <v>8</v>
      </c>
      <c r="C19">
        <f t="shared" ca="1" si="2"/>
        <v>2007</v>
      </c>
      <c r="D19">
        <f t="shared" ca="1" si="3"/>
        <v>22</v>
      </c>
      <c r="E19" t="str">
        <f t="shared" ca="1" si="4"/>
        <v>Wednesday</v>
      </c>
      <c r="F19" s="12">
        <v>45733</v>
      </c>
      <c r="G19">
        <f t="shared" si="5"/>
        <v>17</v>
      </c>
      <c r="H19">
        <f t="shared" si="6"/>
        <v>3</v>
      </c>
      <c r="I19">
        <f t="shared" si="7"/>
        <v>2025</v>
      </c>
      <c r="J19" t="str">
        <f t="shared" si="8"/>
        <v>Monday</v>
      </c>
      <c r="K19" t="str">
        <f t="shared" si="9"/>
        <v>March</v>
      </c>
      <c r="L19" t="str">
        <f t="shared" ca="1" si="10"/>
        <v>1 YEAR 2 MONTH 5 DAY</v>
      </c>
      <c r="M19" t="str">
        <f t="shared" ca="1" si="11"/>
        <v xml:space="preserve">18 YEAR 9 MONTH 0 DAY </v>
      </c>
    </row>
    <row r="20" spans="1:13">
      <c r="A20" s="13">
        <f t="shared" ca="1" si="0"/>
        <v>43834</v>
      </c>
      <c r="B20">
        <f t="shared" ca="1" si="1"/>
        <v>1</v>
      </c>
      <c r="C20">
        <f t="shared" ca="1" si="2"/>
        <v>2020</v>
      </c>
      <c r="D20">
        <f t="shared" ca="1" si="3"/>
        <v>4</v>
      </c>
      <c r="E20" t="str">
        <f t="shared" ca="1" si="4"/>
        <v>Saturday</v>
      </c>
      <c r="F20" s="12">
        <v>45734</v>
      </c>
      <c r="G20">
        <f t="shared" si="5"/>
        <v>18</v>
      </c>
      <c r="H20">
        <f t="shared" si="6"/>
        <v>3</v>
      </c>
      <c r="I20">
        <f t="shared" si="7"/>
        <v>2025</v>
      </c>
      <c r="J20" t="str">
        <f t="shared" si="8"/>
        <v>Tuesday</v>
      </c>
      <c r="K20" t="str">
        <f t="shared" si="9"/>
        <v>March</v>
      </c>
      <c r="L20" t="str">
        <f t="shared" ca="1" si="10"/>
        <v>1 YEAR 2 MONTH 4 DAY</v>
      </c>
      <c r="M20" t="str">
        <f t="shared" ca="1" si="11"/>
        <v xml:space="preserve">6 YEAR 4 MONTH 18 DAY </v>
      </c>
    </row>
    <row r="21" spans="1:13">
      <c r="A21" s="13">
        <f t="shared" ca="1" si="0"/>
        <v>40682</v>
      </c>
      <c r="B21">
        <f t="shared" ca="1" si="1"/>
        <v>5</v>
      </c>
      <c r="C21">
        <f t="shared" ca="1" si="2"/>
        <v>2011</v>
      </c>
      <c r="D21">
        <f t="shared" ca="1" si="3"/>
        <v>19</v>
      </c>
      <c r="E21" t="str">
        <f t="shared" ca="1" si="4"/>
        <v>Thursday</v>
      </c>
      <c r="F21" s="12">
        <v>45735</v>
      </c>
      <c r="G21">
        <f t="shared" si="5"/>
        <v>19</v>
      </c>
      <c r="H21">
        <f t="shared" si="6"/>
        <v>3</v>
      </c>
      <c r="I21">
        <f t="shared" si="7"/>
        <v>2025</v>
      </c>
      <c r="J21" t="str">
        <f t="shared" si="8"/>
        <v>Wednesday</v>
      </c>
      <c r="K21" t="str">
        <f t="shared" si="9"/>
        <v>March</v>
      </c>
      <c r="L21" t="str">
        <f t="shared" ca="1" si="10"/>
        <v>1 YEAR 2 MONTH 3 DAY</v>
      </c>
      <c r="M21" t="str">
        <f t="shared" ca="1" si="11"/>
        <v xml:space="preserve">15 YEAR 0 MONTH 3 DAY </v>
      </c>
    </row>
    <row r="22" spans="1:13">
      <c r="A22" s="13">
        <f t="shared" ca="1" si="0"/>
        <v>40383</v>
      </c>
      <c r="B22">
        <f t="shared" ca="1" si="1"/>
        <v>7</v>
      </c>
      <c r="C22">
        <f t="shared" ca="1" si="2"/>
        <v>2010</v>
      </c>
      <c r="D22">
        <f t="shared" ca="1" si="3"/>
        <v>24</v>
      </c>
      <c r="E22" t="str">
        <f t="shared" ca="1" si="4"/>
        <v>Saturday</v>
      </c>
      <c r="F22" s="12">
        <v>45736</v>
      </c>
      <c r="G22">
        <f t="shared" si="5"/>
        <v>20</v>
      </c>
      <c r="H22">
        <f t="shared" si="6"/>
        <v>3</v>
      </c>
      <c r="I22">
        <f t="shared" si="7"/>
        <v>2025</v>
      </c>
      <c r="J22" t="str">
        <f t="shared" si="8"/>
        <v>Thursday</v>
      </c>
      <c r="K22" t="str">
        <f t="shared" si="9"/>
        <v>March</v>
      </c>
      <c r="L22" t="str">
        <f t="shared" ca="1" si="10"/>
        <v>1 YEAR 2 MONTH 2 DAY</v>
      </c>
      <c r="M22" t="str">
        <f t="shared" ca="1" si="11"/>
        <v xml:space="preserve">15 YEAR 9 MONTH 28 DAY </v>
      </c>
    </row>
    <row r="23" spans="1:13">
      <c r="A23" s="13">
        <f t="shared" ca="1" si="0"/>
        <v>45804</v>
      </c>
      <c r="B23">
        <f t="shared" ca="1" si="1"/>
        <v>5</v>
      </c>
      <c r="C23">
        <f t="shared" ca="1" si="2"/>
        <v>2025</v>
      </c>
      <c r="D23">
        <f t="shared" ca="1" si="3"/>
        <v>27</v>
      </c>
      <c r="E23" t="str">
        <f t="shared" ca="1" si="4"/>
        <v>Tuesday</v>
      </c>
      <c r="F23" s="12">
        <v>45737</v>
      </c>
      <c r="G23">
        <f t="shared" si="5"/>
        <v>21</v>
      </c>
      <c r="H23">
        <f t="shared" si="6"/>
        <v>3</v>
      </c>
      <c r="I23">
        <f t="shared" si="7"/>
        <v>2025</v>
      </c>
      <c r="J23" t="str">
        <f t="shared" si="8"/>
        <v>Friday</v>
      </c>
      <c r="K23" t="str">
        <f t="shared" si="9"/>
        <v>March</v>
      </c>
      <c r="L23" t="str">
        <f t="shared" ca="1" si="10"/>
        <v>1 YEAR 2 MONTH 1 DAY</v>
      </c>
      <c r="M23" t="str">
        <f t="shared" ca="1" si="11"/>
        <v xml:space="preserve">0 YEAR 11 MONTH 25 DAY </v>
      </c>
    </row>
    <row r="24" spans="1:13">
      <c r="A24" s="13">
        <f t="shared" ca="1" si="0"/>
        <v>41488</v>
      </c>
      <c r="B24">
        <f t="shared" ca="1" si="1"/>
        <v>8</v>
      </c>
      <c r="C24">
        <f t="shared" ca="1" si="2"/>
        <v>2013</v>
      </c>
      <c r="D24">
        <f t="shared" ca="1" si="3"/>
        <v>2</v>
      </c>
      <c r="E24" t="str">
        <f t="shared" ca="1" si="4"/>
        <v>Friday</v>
      </c>
      <c r="F24" s="12">
        <v>45738</v>
      </c>
      <c r="G24">
        <f t="shared" si="5"/>
        <v>22</v>
      </c>
      <c r="H24">
        <f t="shared" si="6"/>
        <v>3</v>
      </c>
      <c r="I24">
        <f t="shared" si="7"/>
        <v>2025</v>
      </c>
      <c r="J24" t="str">
        <f t="shared" si="8"/>
        <v>Saturday</v>
      </c>
      <c r="K24" t="str">
        <f t="shared" si="9"/>
        <v>March</v>
      </c>
      <c r="L24" t="str">
        <f t="shared" ca="1" si="10"/>
        <v>1 YEAR 2 MONTH 0 DAY</v>
      </c>
      <c r="M24" t="str">
        <f t="shared" ca="1" si="11"/>
        <v xml:space="preserve">12 YEAR 9 MONTH 20 DAY </v>
      </c>
    </row>
    <row r="25" spans="1:13">
      <c r="A25" s="13">
        <f t="shared" ca="1" si="0"/>
        <v>43118</v>
      </c>
      <c r="B25">
        <f t="shared" ca="1" si="1"/>
        <v>1</v>
      </c>
      <c r="C25">
        <f t="shared" ca="1" si="2"/>
        <v>2018</v>
      </c>
      <c r="D25">
        <f t="shared" ca="1" si="3"/>
        <v>18</v>
      </c>
      <c r="E25" t="str">
        <f t="shared" ca="1" si="4"/>
        <v>Thursday</v>
      </c>
      <c r="F25" s="12">
        <v>45739</v>
      </c>
      <c r="G25">
        <f t="shared" si="5"/>
        <v>23</v>
      </c>
      <c r="H25">
        <f t="shared" si="6"/>
        <v>3</v>
      </c>
      <c r="I25">
        <f t="shared" si="7"/>
        <v>2025</v>
      </c>
      <c r="J25" t="str">
        <f t="shared" si="8"/>
        <v>Sunday</v>
      </c>
      <c r="K25" t="str">
        <f t="shared" si="9"/>
        <v>March</v>
      </c>
      <c r="L25" t="str">
        <f t="shared" ca="1" si="10"/>
        <v>1 YEAR 1 MONTH 29 DAY</v>
      </c>
      <c r="M25" t="str">
        <f t="shared" ca="1" si="11"/>
        <v xml:space="preserve">8 YEAR 4 MONTH 4 DAY </v>
      </c>
    </row>
    <row r="26" spans="1:13">
      <c r="A26" s="13">
        <f t="shared" ca="1" si="0"/>
        <v>43029</v>
      </c>
      <c r="B26">
        <f t="shared" ca="1" si="1"/>
        <v>10</v>
      </c>
      <c r="C26">
        <f t="shared" ca="1" si="2"/>
        <v>2017</v>
      </c>
      <c r="D26">
        <f t="shared" ca="1" si="3"/>
        <v>21</v>
      </c>
      <c r="E26" t="str">
        <f t="shared" ca="1" si="4"/>
        <v>Saturday</v>
      </c>
      <c r="F26" s="12">
        <v>45740</v>
      </c>
      <c r="G26">
        <f t="shared" si="5"/>
        <v>24</v>
      </c>
      <c r="H26">
        <f t="shared" si="6"/>
        <v>3</v>
      </c>
      <c r="I26">
        <f t="shared" si="7"/>
        <v>2025</v>
      </c>
      <c r="J26" t="str">
        <f t="shared" si="8"/>
        <v>Monday</v>
      </c>
      <c r="K26" t="str">
        <f t="shared" si="9"/>
        <v>March</v>
      </c>
      <c r="L26" t="str">
        <f t="shared" ca="1" si="10"/>
        <v>1 YEAR 1 MONTH 28 DAY</v>
      </c>
      <c r="M26" t="str">
        <f t="shared" ca="1" si="11"/>
        <v xml:space="preserve">8 YEAR 7 MONTH 1 DAY </v>
      </c>
    </row>
    <row r="27" spans="1:13">
      <c r="A27" s="13">
        <f t="shared" ca="1" si="0"/>
        <v>41501</v>
      </c>
      <c r="B27">
        <f t="shared" ca="1" si="1"/>
        <v>8</v>
      </c>
      <c r="C27">
        <f t="shared" ca="1" si="2"/>
        <v>2013</v>
      </c>
      <c r="D27">
        <f t="shared" ca="1" si="3"/>
        <v>15</v>
      </c>
      <c r="E27" t="str">
        <f t="shared" ca="1" si="4"/>
        <v>Thursday</v>
      </c>
      <c r="F27" s="12">
        <v>45741</v>
      </c>
      <c r="G27">
        <f t="shared" si="5"/>
        <v>25</v>
      </c>
      <c r="H27">
        <f t="shared" si="6"/>
        <v>3</v>
      </c>
      <c r="I27">
        <f t="shared" si="7"/>
        <v>2025</v>
      </c>
      <c r="J27" t="str">
        <f t="shared" si="8"/>
        <v>Tuesday</v>
      </c>
      <c r="K27" t="str">
        <f t="shared" si="9"/>
        <v>March</v>
      </c>
      <c r="L27" t="str">
        <f t="shared" ca="1" si="10"/>
        <v>1 YEAR 1 MONTH 27 DAY</v>
      </c>
      <c r="M27" t="str">
        <f t="shared" ca="1" si="11"/>
        <v xml:space="preserve">12 YEAR 9 MONTH 7 DAY </v>
      </c>
    </row>
    <row r="28" spans="1:13">
      <c r="A28" s="13">
        <f t="shared" ca="1" si="0"/>
        <v>38058</v>
      </c>
      <c r="B28">
        <f t="shared" ca="1" si="1"/>
        <v>3</v>
      </c>
      <c r="C28">
        <f t="shared" ca="1" si="2"/>
        <v>2004</v>
      </c>
      <c r="D28">
        <f t="shared" ca="1" si="3"/>
        <v>12</v>
      </c>
      <c r="E28" t="str">
        <f t="shared" ca="1" si="4"/>
        <v>Friday</v>
      </c>
      <c r="F28" s="12">
        <v>45742</v>
      </c>
      <c r="G28">
        <f t="shared" si="5"/>
        <v>26</v>
      </c>
      <c r="H28">
        <f t="shared" si="6"/>
        <v>3</v>
      </c>
      <c r="I28">
        <f t="shared" si="7"/>
        <v>2025</v>
      </c>
      <c r="J28" t="str">
        <f t="shared" si="8"/>
        <v>Wednesday</v>
      </c>
      <c r="K28" t="str">
        <f t="shared" si="9"/>
        <v>March</v>
      </c>
      <c r="L28" t="str">
        <f t="shared" ca="1" si="10"/>
        <v>1 YEAR 1 MONTH 26 DAY</v>
      </c>
      <c r="M28" t="str">
        <f t="shared" ca="1" si="11"/>
        <v xml:space="preserve">22 YEAR 2 MONTH 10 DAY </v>
      </c>
    </row>
    <row r="29" spans="1:13">
      <c r="A29" s="13">
        <f t="shared" ca="1" si="0"/>
        <v>38363</v>
      </c>
      <c r="B29">
        <f t="shared" ca="1" si="1"/>
        <v>1</v>
      </c>
      <c r="C29">
        <f t="shared" ca="1" si="2"/>
        <v>2005</v>
      </c>
      <c r="D29">
        <f t="shared" ca="1" si="3"/>
        <v>11</v>
      </c>
      <c r="E29" t="str">
        <f t="shared" ca="1" si="4"/>
        <v>Tuesday</v>
      </c>
      <c r="F29" s="12">
        <v>45743</v>
      </c>
      <c r="G29">
        <f t="shared" si="5"/>
        <v>27</v>
      </c>
      <c r="H29">
        <f t="shared" si="6"/>
        <v>3</v>
      </c>
      <c r="I29">
        <f t="shared" si="7"/>
        <v>2025</v>
      </c>
      <c r="J29" t="str">
        <f t="shared" si="8"/>
        <v>Thursday</v>
      </c>
      <c r="K29" t="str">
        <f t="shared" si="9"/>
        <v>March</v>
      </c>
      <c r="L29" t="str">
        <f t="shared" ca="1" si="10"/>
        <v>1 YEAR 1 MONTH 25 DAY</v>
      </c>
      <c r="M29" t="str">
        <f t="shared" ca="1" si="11"/>
        <v xml:space="preserve">21 YEAR 4 MONTH 11 DAY </v>
      </c>
    </row>
    <row r="30" spans="1:13">
      <c r="A30" s="13">
        <f t="shared" ca="1" si="0"/>
        <v>42096</v>
      </c>
      <c r="B30">
        <f t="shared" ca="1" si="1"/>
        <v>4</v>
      </c>
      <c r="C30">
        <f t="shared" ca="1" si="2"/>
        <v>2015</v>
      </c>
      <c r="D30">
        <f t="shared" ca="1" si="3"/>
        <v>2</v>
      </c>
      <c r="E30" t="str">
        <f t="shared" ca="1" si="4"/>
        <v>Thursday</v>
      </c>
      <c r="F30" s="12">
        <v>45744</v>
      </c>
      <c r="G30">
        <f t="shared" si="5"/>
        <v>28</v>
      </c>
      <c r="H30">
        <f t="shared" si="6"/>
        <v>3</v>
      </c>
      <c r="I30">
        <f t="shared" si="7"/>
        <v>2025</v>
      </c>
      <c r="J30" t="str">
        <f t="shared" si="8"/>
        <v>Friday</v>
      </c>
      <c r="K30" t="str">
        <f t="shared" si="9"/>
        <v>March</v>
      </c>
      <c r="L30" t="str">
        <f t="shared" ca="1" si="10"/>
        <v>1 YEAR 1 MONTH 24 DAY</v>
      </c>
      <c r="M30" t="str">
        <f t="shared" ca="1" si="11"/>
        <v xml:space="preserve">11 YEAR 1 MONTH 20 DAY </v>
      </c>
    </row>
    <row r="31" spans="1:13">
      <c r="A31" s="13">
        <f t="shared" ca="1" si="0"/>
        <v>41563</v>
      </c>
      <c r="B31">
        <f t="shared" ca="1" si="1"/>
        <v>10</v>
      </c>
      <c r="C31">
        <f t="shared" ca="1" si="2"/>
        <v>2013</v>
      </c>
      <c r="D31">
        <f t="shared" ca="1" si="3"/>
        <v>16</v>
      </c>
      <c r="E31" t="str">
        <f t="shared" ca="1" si="4"/>
        <v>Wednesday</v>
      </c>
      <c r="F31" s="12">
        <v>45745</v>
      </c>
      <c r="G31">
        <f t="shared" si="5"/>
        <v>29</v>
      </c>
      <c r="H31">
        <f t="shared" si="6"/>
        <v>3</v>
      </c>
      <c r="I31">
        <f t="shared" si="7"/>
        <v>2025</v>
      </c>
      <c r="J31" t="str">
        <f t="shared" si="8"/>
        <v>Saturday</v>
      </c>
      <c r="K31" t="str">
        <f t="shared" si="9"/>
        <v>March</v>
      </c>
      <c r="L31" t="str">
        <f t="shared" ca="1" si="10"/>
        <v>1 YEAR 1 MONTH 23 DAY</v>
      </c>
      <c r="M31" t="str">
        <f t="shared" ca="1" si="11"/>
        <v xml:space="preserve">12 YEAR 7 MONTH 6 DAY </v>
      </c>
    </row>
    <row r="32" spans="1:13">
      <c r="A32" s="13">
        <f t="shared" ca="1" si="0"/>
        <v>41353</v>
      </c>
      <c r="B32">
        <f t="shared" ca="1" si="1"/>
        <v>3</v>
      </c>
      <c r="C32">
        <f t="shared" ca="1" si="2"/>
        <v>2013</v>
      </c>
      <c r="D32">
        <f t="shared" ca="1" si="3"/>
        <v>20</v>
      </c>
      <c r="E32" t="str">
        <f t="shared" ca="1" si="4"/>
        <v>Wednesday</v>
      </c>
      <c r="F32" s="12">
        <v>45746</v>
      </c>
      <c r="G32">
        <f t="shared" si="5"/>
        <v>30</v>
      </c>
      <c r="H32">
        <f t="shared" si="6"/>
        <v>3</v>
      </c>
      <c r="I32">
        <f t="shared" si="7"/>
        <v>2025</v>
      </c>
      <c r="J32" t="str">
        <f t="shared" si="8"/>
        <v>Sunday</v>
      </c>
      <c r="K32" t="str">
        <f t="shared" si="9"/>
        <v>March</v>
      </c>
      <c r="L32" t="str">
        <f t="shared" ca="1" si="10"/>
        <v>1 YEAR 1 MONTH 22 DAY</v>
      </c>
      <c r="M32" t="str">
        <f t="shared" ca="1" si="11"/>
        <v xml:space="preserve">13 YEAR 2 MONTH 2 DAY </v>
      </c>
    </row>
    <row r="33" spans="1:13">
      <c r="A33" s="13">
        <f t="shared" ca="1" si="0"/>
        <v>39084</v>
      </c>
      <c r="B33">
        <f t="shared" ca="1" si="1"/>
        <v>1</v>
      </c>
      <c r="C33">
        <f t="shared" ca="1" si="2"/>
        <v>2007</v>
      </c>
      <c r="D33">
        <f t="shared" ca="1" si="3"/>
        <v>2</v>
      </c>
      <c r="E33" t="str">
        <f t="shared" ca="1" si="4"/>
        <v>Tuesday</v>
      </c>
      <c r="F33" s="12">
        <v>45747</v>
      </c>
      <c r="G33">
        <f t="shared" si="5"/>
        <v>31</v>
      </c>
      <c r="H33">
        <f t="shared" si="6"/>
        <v>3</v>
      </c>
      <c r="I33">
        <f t="shared" si="7"/>
        <v>2025</v>
      </c>
      <c r="J33" t="str">
        <f t="shared" si="8"/>
        <v>Monday</v>
      </c>
      <c r="K33" t="str">
        <f t="shared" si="9"/>
        <v>March</v>
      </c>
      <c r="L33" t="str">
        <f t="shared" ca="1" si="10"/>
        <v>1 YEAR 1 MONTH 21 DAY</v>
      </c>
      <c r="M33" t="str">
        <f t="shared" ca="1" si="11"/>
        <v xml:space="preserve">19 YEAR 4 MONTH 20 DAY </v>
      </c>
    </row>
    <row r="34" spans="1:13">
      <c r="A34" s="13">
        <f t="shared" ca="1" si="0"/>
        <v>46052</v>
      </c>
      <c r="B34">
        <f t="shared" ca="1" si="1"/>
        <v>1</v>
      </c>
      <c r="C34">
        <f t="shared" ca="1" si="2"/>
        <v>2026</v>
      </c>
      <c r="D34">
        <f t="shared" ca="1" si="3"/>
        <v>30</v>
      </c>
      <c r="E34" t="str">
        <f t="shared" ca="1" si="4"/>
        <v>Friday</v>
      </c>
      <c r="F34" s="12">
        <v>45748</v>
      </c>
      <c r="G34">
        <f t="shared" si="5"/>
        <v>1</v>
      </c>
      <c r="H34">
        <f t="shared" si="6"/>
        <v>4</v>
      </c>
      <c r="I34">
        <f t="shared" si="7"/>
        <v>2025</v>
      </c>
      <c r="J34" t="str">
        <f t="shared" si="8"/>
        <v>Tuesday</v>
      </c>
      <c r="K34" t="str">
        <f t="shared" si="9"/>
        <v>April</v>
      </c>
      <c r="L34" t="str">
        <f t="shared" ca="1" si="10"/>
        <v>1 YEAR 1 MONTH 21 DAY</v>
      </c>
      <c r="M34" t="str">
        <f t="shared" ca="1" si="11"/>
        <v xml:space="preserve">0 YEAR 3 MONTH 22 DAY </v>
      </c>
    </row>
    <row r="35" spans="1:13">
      <c r="A35" s="13">
        <f t="shared" ca="1" si="0"/>
        <v>43999</v>
      </c>
      <c r="B35">
        <f t="shared" ca="1" si="1"/>
        <v>6</v>
      </c>
      <c r="C35">
        <f t="shared" ca="1" si="2"/>
        <v>2020</v>
      </c>
      <c r="D35">
        <f t="shared" ca="1" si="3"/>
        <v>17</v>
      </c>
      <c r="E35" t="str">
        <f t="shared" ca="1" si="4"/>
        <v>Wednesday</v>
      </c>
      <c r="F35" s="12">
        <v>45749</v>
      </c>
      <c r="G35">
        <f t="shared" si="5"/>
        <v>2</v>
      </c>
      <c r="H35">
        <f t="shared" si="6"/>
        <v>4</v>
      </c>
      <c r="I35">
        <f t="shared" si="7"/>
        <v>2025</v>
      </c>
      <c r="J35" t="str">
        <f t="shared" si="8"/>
        <v>Wednesday</v>
      </c>
      <c r="K35" t="str">
        <f t="shared" si="9"/>
        <v>April</v>
      </c>
      <c r="L35" t="str">
        <f t="shared" ca="1" si="10"/>
        <v>1 YEAR 1 MONTH 20 DAY</v>
      </c>
      <c r="M35" t="str">
        <f t="shared" ca="1" si="11"/>
        <v xml:space="preserve">5 YEAR 11 MONTH 5 DAY </v>
      </c>
    </row>
    <row r="36" spans="1:13">
      <c r="A36" s="13">
        <f t="shared" ca="1" si="0"/>
        <v>39190</v>
      </c>
      <c r="B36">
        <f t="shared" ca="1" si="1"/>
        <v>4</v>
      </c>
      <c r="C36">
        <f t="shared" ca="1" si="2"/>
        <v>2007</v>
      </c>
      <c r="D36">
        <f t="shared" ca="1" si="3"/>
        <v>18</v>
      </c>
      <c r="E36" t="str">
        <f t="shared" ca="1" si="4"/>
        <v>Wednesday</v>
      </c>
      <c r="F36" s="12">
        <v>45750</v>
      </c>
      <c r="G36">
        <f t="shared" si="5"/>
        <v>3</v>
      </c>
      <c r="H36">
        <f t="shared" si="6"/>
        <v>4</v>
      </c>
      <c r="I36">
        <f t="shared" si="7"/>
        <v>2025</v>
      </c>
      <c r="J36" t="str">
        <f t="shared" si="8"/>
        <v>Thursday</v>
      </c>
      <c r="K36" t="str">
        <f t="shared" si="9"/>
        <v>April</v>
      </c>
      <c r="L36" t="str">
        <f t="shared" ca="1" si="10"/>
        <v>1 YEAR 1 MONTH 19 DAY</v>
      </c>
      <c r="M36" t="str">
        <f t="shared" ca="1" si="11"/>
        <v xml:space="preserve">19 YEAR 1 MONTH 4 DAY </v>
      </c>
    </row>
    <row r="37" spans="1:13">
      <c r="A37" s="13">
        <f t="shared" ca="1" si="0"/>
        <v>43794</v>
      </c>
      <c r="B37">
        <f t="shared" ca="1" si="1"/>
        <v>11</v>
      </c>
      <c r="C37">
        <f t="shared" ca="1" si="2"/>
        <v>2019</v>
      </c>
      <c r="D37">
        <f t="shared" ca="1" si="3"/>
        <v>25</v>
      </c>
      <c r="E37" t="str">
        <f t="shared" ca="1" si="4"/>
        <v>Monday</v>
      </c>
      <c r="F37" s="12">
        <v>45751</v>
      </c>
      <c r="G37">
        <f t="shared" si="5"/>
        <v>4</v>
      </c>
      <c r="H37">
        <f t="shared" si="6"/>
        <v>4</v>
      </c>
      <c r="I37">
        <f t="shared" si="7"/>
        <v>2025</v>
      </c>
      <c r="J37" t="str">
        <f t="shared" si="8"/>
        <v>Friday</v>
      </c>
      <c r="K37" t="str">
        <f t="shared" si="9"/>
        <v>April</v>
      </c>
      <c r="L37" t="str">
        <f t="shared" ca="1" si="10"/>
        <v>1 YEAR 1 MONTH 18 DAY</v>
      </c>
      <c r="M37" t="str">
        <f t="shared" ca="1" si="11"/>
        <v xml:space="preserve">6 YEAR 5 MONTH 27 DAY </v>
      </c>
    </row>
    <row r="38" spans="1:13">
      <c r="A38" s="13">
        <f t="shared" ca="1" si="0"/>
        <v>38795</v>
      </c>
      <c r="B38">
        <f t="shared" ca="1" si="1"/>
        <v>3</v>
      </c>
      <c r="C38">
        <f t="shared" ca="1" si="2"/>
        <v>2006</v>
      </c>
      <c r="D38">
        <f t="shared" ca="1" si="3"/>
        <v>19</v>
      </c>
      <c r="E38" t="str">
        <f t="shared" ca="1" si="4"/>
        <v>Sunday</v>
      </c>
      <c r="F38" s="12">
        <v>45752</v>
      </c>
      <c r="G38">
        <f t="shared" si="5"/>
        <v>5</v>
      </c>
      <c r="H38">
        <f t="shared" si="6"/>
        <v>4</v>
      </c>
      <c r="I38">
        <f t="shared" si="7"/>
        <v>2025</v>
      </c>
      <c r="J38" t="str">
        <f t="shared" si="8"/>
        <v>Saturday</v>
      </c>
      <c r="K38" t="str">
        <f t="shared" si="9"/>
        <v>April</v>
      </c>
      <c r="L38" t="str">
        <f t="shared" ca="1" si="10"/>
        <v>1 YEAR 1 MONTH 17 DAY</v>
      </c>
      <c r="M38" t="str">
        <f t="shared" ca="1" si="11"/>
        <v xml:space="preserve">20 YEAR 2 MONTH 3 DAY </v>
      </c>
    </row>
    <row r="39" spans="1:13">
      <c r="A39" s="13">
        <f t="shared" ca="1" si="0"/>
        <v>45691</v>
      </c>
      <c r="B39">
        <f t="shared" ca="1" si="1"/>
        <v>2</v>
      </c>
      <c r="C39">
        <f t="shared" ca="1" si="2"/>
        <v>2025</v>
      </c>
      <c r="D39">
        <f t="shared" ca="1" si="3"/>
        <v>3</v>
      </c>
      <c r="E39" t="str">
        <f t="shared" ca="1" si="4"/>
        <v>Monday</v>
      </c>
      <c r="F39" s="12">
        <v>45753</v>
      </c>
      <c r="G39">
        <f t="shared" si="5"/>
        <v>6</v>
      </c>
      <c r="H39">
        <f t="shared" si="6"/>
        <v>4</v>
      </c>
      <c r="I39">
        <f t="shared" si="7"/>
        <v>2025</v>
      </c>
      <c r="J39" t="str">
        <f t="shared" si="8"/>
        <v>Sunday</v>
      </c>
      <c r="K39" t="str">
        <f t="shared" si="9"/>
        <v>April</v>
      </c>
      <c r="L39" t="str">
        <f t="shared" ca="1" si="10"/>
        <v>1 YEAR 1 MONTH 16 DAY</v>
      </c>
      <c r="M39" t="str">
        <f t="shared" ca="1" si="11"/>
        <v xml:space="preserve">1 YEAR 3 MONTH 19 DAY </v>
      </c>
    </row>
    <row r="40" spans="1:13">
      <c r="A40" s="13">
        <f t="shared" ca="1" si="0"/>
        <v>44961</v>
      </c>
      <c r="B40">
        <f t="shared" ca="1" si="1"/>
        <v>2</v>
      </c>
      <c r="C40">
        <f t="shared" ca="1" si="2"/>
        <v>2023</v>
      </c>
      <c r="D40">
        <f t="shared" ca="1" si="3"/>
        <v>4</v>
      </c>
      <c r="E40" t="str">
        <f t="shared" ca="1" si="4"/>
        <v>Saturday</v>
      </c>
      <c r="F40" s="12">
        <v>45754</v>
      </c>
      <c r="G40">
        <f t="shared" si="5"/>
        <v>7</v>
      </c>
      <c r="H40">
        <f t="shared" si="6"/>
        <v>4</v>
      </c>
      <c r="I40">
        <f t="shared" si="7"/>
        <v>2025</v>
      </c>
      <c r="J40" t="str">
        <f t="shared" si="8"/>
        <v>Monday</v>
      </c>
      <c r="K40" t="str">
        <f t="shared" si="9"/>
        <v>April</v>
      </c>
      <c r="L40" t="str">
        <f t="shared" ca="1" si="10"/>
        <v>1 YEAR 1 MONTH 15 DAY</v>
      </c>
      <c r="M40" t="str">
        <f t="shared" ca="1" si="11"/>
        <v xml:space="preserve">3 YEAR 3 MONTH 18 DAY </v>
      </c>
    </row>
    <row r="41" spans="1:13">
      <c r="A41" s="13">
        <f t="shared" ca="1" si="0"/>
        <v>43079</v>
      </c>
      <c r="B41">
        <f t="shared" ca="1" si="1"/>
        <v>12</v>
      </c>
      <c r="C41">
        <f t="shared" ca="1" si="2"/>
        <v>2017</v>
      </c>
      <c r="D41">
        <f t="shared" ca="1" si="3"/>
        <v>10</v>
      </c>
      <c r="E41" t="str">
        <f t="shared" ca="1" si="4"/>
        <v>Sunday</v>
      </c>
      <c r="F41" s="12">
        <v>45755</v>
      </c>
      <c r="G41">
        <f t="shared" si="5"/>
        <v>8</v>
      </c>
      <c r="H41">
        <f t="shared" si="6"/>
        <v>4</v>
      </c>
      <c r="I41">
        <f t="shared" si="7"/>
        <v>2025</v>
      </c>
      <c r="J41" t="str">
        <f t="shared" si="8"/>
        <v>Tuesday</v>
      </c>
      <c r="K41" t="str">
        <f t="shared" si="9"/>
        <v>April</v>
      </c>
      <c r="L41" t="str">
        <f t="shared" ca="1" si="10"/>
        <v>1 YEAR 1 MONTH 14 DAY</v>
      </c>
      <c r="M41" t="str">
        <f t="shared" ca="1" si="11"/>
        <v xml:space="preserve">8 YEAR 5 MONTH 12 DAY </v>
      </c>
    </row>
    <row r="42" spans="1:13">
      <c r="A42" s="13">
        <f t="shared" ca="1" si="0"/>
        <v>40316</v>
      </c>
      <c r="B42">
        <f t="shared" ca="1" si="1"/>
        <v>5</v>
      </c>
      <c r="C42">
        <f t="shared" ca="1" si="2"/>
        <v>2010</v>
      </c>
      <c r="D42">
        <f t="shared" ca="1" si="3"/>
        <v>18</v>
      </c>
      <c r="E42" t="str">
        <f t="shared" ca="1" si="4"/>
        <v>Tuesday</v>
      </c>
      <c r="F42" s="12">
        <v>45756</v>
      </c>
      <c r="G42">
        <f t="shared" si="5"/>
        <v>9</v>
      </c>
      <c r="H42">
        <f t="shared" si="6"/>
        <v>4</v>
      </c>
      <c r="I42">
        <f t="shared" si="7"/>
        <v>2025</v>
      </c>
      <c r="J42" t="str">
        <f t="shared" si="8"/>
        <v>Wednesday</v>
      </c>
      <c r="K42" t="str">
        <f t="shared" si="9"/>
        <v>April</v>
      </c>
      <c r="L42" t="str">
        <f t="shared" ca="1" si="10"/>
        <v>1 YEAR 1 MONTH 13 DAY</v>
      </c>
      <c r="M42" t="str">
        <f t="shared" ca="1" si="11"/>
        <v xml:space="preserve">16 YEAR 0 MONTH 4 DAY </v>
      </c>
    </row>
    <row r="43" spans="1:13">
      <c r="A43" s="13">
        <f t="shared" ca="1" si="0"/>
        <v>44238</v>
      </c>
      <c r="B43">
        <f t="shared" ca="1" si="1"/>
        <v>2</v>
      </c>
      <c r="C43">
        <f t="shared" ca="1" si="2"/>
        <v>2021</v>
      </c>
      <c r="D43">
        <f t="shared" ca="1" si="3"/>
        <v>11</v>
      </c>
      <c r="E43" t="str">
        <f t="shared" ca="1" si="4"/>
        <v>Thursday</v>
      </c>
      <c r="F43" s="12">
        <v>45757</v>
      </c>
      <c r="G43">
        <f t="shared" si="5"/>
        <v>10</v>
      </c>
      <c r="H43">
        <f t="shared" si="6"/>
        <v>4</v>
      </c>
      <c r="I43">
        <f t="shared" si="7"/>
        <v>2025</v>
      </c>
      <c r="J43" t="str">
        <f t="shared" si="8"/>
        <v>Thursday</v>
      </c>
      <c r="K43" t="str">
        <f t="shared" si="9"/>
        <v>April</v>
      </c>
      <c r="L43" t="str">
        <f t="shared" ca="1" si="10"/>
        <v>1 YEAR 1 MONTH 12 DAY</v>
      </c>
      <c r="M43" t="str">
        <f t="shared" ca="1" si="11"/>
        <v xml:space="preserve">5 YEAR 3 MONTH 11 DAY </v>
      </c>
    </row>
    <row r="44" spans="1:13">
      <c r="A44" s="13">
        <f t="shared" ca="1" si="0"/>
        <v>45241</v>
      </c>
      <c r="B44">
        <f t="shared" ca="1" si="1"/>
        <v>11</v>
      </c>
      <c r="C44">
        <f t="shared" ca="1" si="2"/>
        <v>2023</v>
      </c>
      <c r="D44">
        <f t="shared" ca="1" si="3"/>
        <v>11</v>
      </c>
      <c r="E44" t="str">
        <f t="shared" ca="1" si="4"/>
        <v>Saturday</v>
      </c>
      <c r="F44" s="12">
        <v>45758</v>
      </c>
      <c r="G44">
        <f t="shared" si="5"/>
        <v>11</v>
      </c>
      <c r="H44">
        <f t="shared" si="6"/>
        <v>4</v>
      </c>
      <c r="I44">
        <f t="shared" si="7"/>
        <v>2025</v>
      </c>
      <c r="J44" t="str">
        <f t="shared" si="8"/>
        <v>Friday</v>
      </c>
      <c r="K44" t="str">
        <f t="shared" si="9"/>
        <v>April</v>
      </c>
      <c r="L44" t="str">
        <f t="shared" ca="1" si="10"/>
        <v>1 YEAR 1 MONTH 11 DAY</v>
      </c>
      <c r="M44" t="str">
        <f t="shared" ca="1" si="11"/>
        <v xml:space="preserve">2 YEAR 6 MONTH 11 DAY </v>
      </c>
    </row>
    <row r="45" spans="1:13">
      <c r="A45" s="13">
        <f t="shared" ca="1" si="0"/>
        <v>45509</v>
      </c>
      <c r="B45">
        <f t="shared" ca="1" si="1"/>
        <v>8</v>
      </c>
      <c r="C45">
        <f t="shared" ca="1" si="2"/>
        <v>2024</v>
      </c>
      <c r="D45">
        <f t="shared" ca="1" si="3"/>
        <v>5</v>
      </c>
      <c r="E45" t="str">
        <f t="shared" ca="1" si="4"/>
        <v>Monday</v>
      </c>
      <c r="F45" s="12">
        <v>45759</v>
      </c>
      <c r="G45">
        <f t="shared" si="5"/>
        <v>12</v>
      </c>
      <c r="H45">
        <f t="shared" si="6"/>
        <v>4</v>
      </c>
      <c r="I45">
        <f t="shared" si="7"/>
        <v>2025</v>
      </c>
      <c r="J45" t="str">
        <f t="shared" si="8"/>
        <v>Saturday</v>
      </c>
      <c r="K45" t="str">
        <f t="shared" si="9"/>
        <v>April</v>
      </c>
      <c r="L45" t="str">
        <f t="shared" ca="1" si="10"/>
        <v>1 YEAR 1 MONTH 10 DAY</v>
      </c>
      <c r="M45" t="str">
        <f t="shared" ca="1" si="11"/>
        <v xml:space="preserve">1 YEAR 9 MONTH 17 DAY </v>
      </c>
    </row>
    <row r="46" spans="1:13">
      <c r="A46" s="13">
        <f t="shared" ca="1" si="0"/>
        <v>45902</v>
      </c>
      <c r="B46">
        <f t="shared" ca="1" si="1"/>
        <v>9</v>
      </c>
      <c r="C46">
        <f t="shared" ca="1" si="2"/>
        <v>2025</v>
      </c>
      <c r="D46">
        <f t="shared" ca="1" si="3"/>
        <v>2</v>
      </c>
      <c r="E46" t="str">
        <f t="shared" ca="1" si="4"/>
        <v>Tuesday</v>
      </c>
      <c r="F46" s="12">
        <v>45760</v>
      </c>
      <c r="G46">
        <f t="shared" si="5"/>
        <v>13</v>
      </c>
      <c r="H46">
        <f t="shared" si="6"/>
        <v>4</v>
      </c>
      <c r="I46">
        <f t="shared" si="7"/>
        <v>2025</v>
      </c>
      <c r="J46" t="str">
        <f t="shared" si="8"/>
        <v>Sunday</v>
      </c>
      <c r="K46" t="str">
        <f t="shared" si="9"/>
        <v>April</v>
      </c>
      <c r="L46" t="str">
        <f t="shared" ca="1" si="10"/>
        <v>1 YEAR 1 MONTH 9 DAY</v>
      </c>
      <c r="M46" t="str">
        <f t="shared" ca="1" si="11"/>
        <v xml:space="preserve">0 YEAR 8 MONTH 20 DAY </v>
      </c>
    </row>
    <row r="47" spans="1:13">
      <c r="A47" s="13">
        <f t="shared" ca="1" si="0"/>
        <v>46086</v>
      </c>
      <c r="B47">
        <f t="shared" ca="1" si="1"/>
        <v>3</v>
      </c>
      <c r="C47">
        <f t="shared" ca="1" si="2"/>
        <v>2026</v>
      </c>
      <c r="D47">
        <f t="shared" ca="1" si="3"/>
        <v>5</v>
      </c>
      <c r="E47" t="str">
        <f t="shared" ca="1" si="4"/>
        <v>Thursday</v>
      </c>
      <c r="F47" s="12">
        <v>45761</v>
      </c>
      <c r="G47">
        <f t="shared" si="5"/>
        <v>14</v>
      </c>
      <c r="H47">
        <f t="shared" si="6"/>
        <v>4</v>
      </c>
      <c r="I47">
        <f t="shared" si="7"/>
        <v>2025</v>
      </c>
      <c r="J47" t="str">
        <f t="shared" si="8"/>
        <v>Monday</v>
      </c>
      <c r="K47" t="str">
        <f t="shared" si="9"/>
        <v>April</v>
      </c>
      <c r="L47" t="str">
        <f t="shared" ca="1" si="10"/>
        <v>1 YEAR 1 MONTH 8 DAY</v>
      </c>
      <c r="M47" t="str">
        <f t="shared" ca="1" si="11"/>
        <v xml:space="preserve">0 YEAR 2 MONTH 17 DAY </v>
      </c>
    </row>
    <row r="48" spans="1:13">
      <c r="A48" s="13">
        <f t="shared" ca="1" si="0"/>
        <v>40282</v>
      </c>
      <c r="B48">
        <f t="shared" ca="1" si="1"/>
        <v>4</v>
      </c>
      <c r="C48">
        <f t="shared" ca="1" si="2"/>
        <v>2010</v>
      </c>
      <c r="D48">
        <f t="shared" ca="1" si="3"/>
        <v>14</v>
      </c>
      <c r="E48" t="str">
        <f t="shared" ca="1" si="4"/>
        <v>Wednesday</v>
      </c>
      <c r="F48" s="12">
        <v>45762</v>
      </c>
      <c r="G48">
        <f t="shared" si="5"/>
        <v>15</v>
      </c>
      <c r="H48">
        <f t="shared" si="6"/>
        <v>4</v>
      </c>
      <c r="I48">
        <f t="shared" si="7"/>
        <v>2025</v>
      </c>
      <c r="J48" t="str">
        <f t="shared" si="8"/>
        <v>Tuesday</v>
      </c>
      <c r="K48" t="str">
        <f t="shared" si="9"/>
        <v>April</v>
      </c>
      <c r="L48" t="str">
        <f t="shared" ca="1" si="10"/>
        <v>1 YEAR 1 MONTH 7 DAY</v>
      </c>
      <c r="M48" t="str">
        <f t="shared" ca="1" si="11"/>
        <v xml:space="preserve">16 YEAR 1 MONTH 8 DAY </v>
      </c>
    </row>
    <row r="49" spans="1:13">
      <c r="A49" s="13">
        <f t="shared" ca="1" si="0"/>
        <v>43567</v>
      </c>
      <c r="B49">
        <f t="shared" ca="1" si="1"/>
        <v>4</v>
      </c>
      <c r="C49">
        <f t="shared" ca="1" si="2"/>
        <v>2019</v>
      </c>
      <c r="D49">
        <f t="shared" ca="1" si="3"/>
        <v>12</v>
      </c>
      <c r="E49" t="str">
        <f t="shared" ca="1" si="4"/>
        <v>Friday</v>
      </c>
      <c r="F49" s="12">
        <v>45763</v>
      </c>
      <c r="G49">
        <f t="shared" si="5"/>
        <v>16</v>
      </c>
      <c r="H49">
        <f t="shared" si="6"/>
        <v>4</v>
      </c>
      <c r="I49">
        <f t="shared" si="7"/>
        <v>2025</v>
      </c>
      <c r="J49" t="str">
        <f t="shared" si="8"/>
        <v>Wednesday</v>
      </c>
      <c r="K49" t="str">
        <f t="shared" si="9"/>
        <v>April</v>
      </c>
      <c r="L49" t="str">
        <f t="shared" ca="1" si="10"/>
        <v>1 YEAR 1 MONTH 6 DAY</v>
      </c>
      <c r="M49" t="str">
        <f t="shared" ca="1" si="11"/>
        <v xml:space="preserve">7 YEAR 1 MONTH 10 DAY </v>
      </c>
    </row>
    <row r="50" spans="1:13">
      <c r="A50" s="13">
        <f t="shared" ca="1" si="0"/>
        <v>46141</v>
      </c>
      <c r="B50">
        <f t="shared" ca="1" si="1"/>
        <v>4</v>
      </c>
      <c r="C50">
        <f t="shared" ca="1" si="2"/>
        <v>2026</v>
      </c>
      <c r="D50">
        <f t="shared" ca="1" si="3"/>
        <v>29</v>
      </c>
      <c r="E50" t="str">
        <f t="shared" ca="1" si="4"/>
        <v>Wednesday</v>
      </c>
      <c r="F50" s="12">
        <v>45764</v>
      </c>
      <c r="G50">
        <f t="shared" si="5"/>
        <v>17</v>
      </c>
      <c r="H50">
        <f t="shared" si="6"/>
        <v>4</v>
      </c>
      <c r="I50">
        <f t="shared" si="7"/>
        <v>2025</v>
      </c>
      <c r="J50" t="str">
        <f t="shared" si="8"/>
        <v>Thursday</v>
      </c>
      <c r="K50" t="str">
        <f t="shared" si="9"/>
        <v>April</v>
      </c>
      <c r="L50" t="str">
        <f t="shared" ca="1" si="10"/>
        <v>1 YEAR 1 MONTH 5 DAY</v>
      </c>
      <c r="M50" t="str">
        <f t="shared" ca="1" si="11"/>
        <v xml:space="preserve">0 YEAR 0 MONTH 23 DAY </v>
      </c>
    </row>
    <row r="51" spans="1:13">
      <c r="A51" s="13">
        <f t="shared" ca="1" si="0"/>
        <v>39714</v>
      </c>
      <c r="B51">
        <f t="shared" ca="1" si="1"/>
        <v>9</v>
      </c>
      <c r="C51">
        <f t="shared" ca="1" si="2"/>
        <v>2008</v>
      </c>
      <c r="D51">
        <f t="shared" ca="1" si="3"/>
        <v>23</v>
      </c>
      <c r="E51" t="str">
        <f t="shared" ca="1" si="4"/>
        <v>Tuesday</v>
      </c>
      <c r="F51" s="12">
        <v>45765</v>
      </c>
      <c r="G51">
        <f t="shared" si="5"/>
        <v>18</v>
      </c>
      <c r="H51">
        <f t="shared" si="6"/>
        <v>4</v>
      </c>
      <c r="I51">
        <f t="shared" si="7"/>
        <v>2025</v>
      </c>
      <c r="J51" t="str">
        <f t="shared" si="8"/>
        <v>Friday</v>
      </c>
      <c r="K51" t="str">
        <f t="shared" si="9"/>
        <v>April</v>
      </c>
      <c r="L51" t="str">
        <f t="shared" ca="1" si="10"/>
        <v>1 YEAR 1 MONTH 4 DAY</v>
      </c>
      <c r="M51" t="str">
        <f t="shared" ca="1" si="11"/>
        <v xml:space="preserve">17 YEAR 7 MONTH 29 DAY </v>
      </c>
    </row>
    <row r="52" spans="1:13">
      <c r="A52" s="13">
        <f t="shared" ca="1" si="0"/>
        <v>41880</v>
      </c>
      <c r="B52">
        <f t="shared" ca="1" si="1"/>
        <v>8</v>
      </c>
      <c r="C52">
        <f t="shared" ca="1" si="2"/>
        <v>2014</v>
      </c>
      <c r="D52">
        <f t="shared" ca="1" si="3"/>
        <v>29</v>
      </c>
      <c r="E52" t="str">
        <f t="shared" ca="1" si="4"/>
        <v>Friday</v>
      </c>
      <c r="F52" s="12">
        <v>45766</v>
      </c>
      <c r="G52">
        <f t="shared" si="5"/>
        <v>19</v>
      </c>
      <c r="H52">
        <f t="shared" si="6"/>
        <v>4</v>
      </c>
      <c r="I52">
        <f t="shared" si="7"/>
        <v>2025</v>
      </c>
      <c r="J52" t="str">
        <f t="shared" si="8"/>
        <v>Saturday</v>
      </c>
      <c r="K52" t="str">
        <f t="shared" si="9"/>
        <v>April</v>
      </c>
      <c r="L52" t="str">
        <f t="shared" ca="1" si="10"/>
        <v>1 YEAR 1 MONTH 3 DAY</v>
      </c>
      <c r="M52" t="str">
        <f t="shared" ca="1" si="11"/>
        <v xml:space="preserve">11 YEAR 8 MONTH 23 DAY </v>
      </c>
    </row>
    <row r="53" spans="1:13">
      <c r="A53" s="13">
        <f t="shared" ca="1" si="0"/>
        <v>46054</v>
      </c>
      <c r="B53">
        <f t="shared" ca="1" si="1"/>
        <v>2</v>
      </c>
      <c r="C53">
        <f t="shared" ca="1" si="2"/>
        <v>2026</v>
      </c>
      <c r="D53">
        <f t="shared" ca="1" si="3"/>
        <v>1</v>
      </c>
      <c r="E53" t="str">
        <f t="shared" ca="1" si="4"/>
        <v>Sunday</v>
      </c>
      <c r="F53" s="12">
        <v>45767</v>
      </c>
      <c r="G53">
        <f t="shared" si="5"/>
        <v>20</v>
      </c>
      <c r="H53">
        <f t="shared" si="6"/>
        <v>4</v>
      </c>
      <c r="I53">
        <f t="shared" si="7"/>
        <v>2025</v>
      </c>
      <c r="J53" t="str">
        <f t="shared" si="8"/>
        <v>Sunday</v>
      </c>
      <c r="K53" t="str">
        <f t="shared" si="9"/>
        <v>April</v>
      </c>
      <c r="L53" t="str">
        <f t="shared" ca="1" si="10"/>
        <v>1 YEAR 1 MONTH 2 DAY</v>
      </c>
      <c r="M53" t="str">
        <f t="shared" ca="1" si="11"/>
        <v xml:space="preserve">0 YEAR 3 MONTH 21 DAY </v>
      </c>
    </row>
    <row r="54" spans="1:13">
      <c r="A54" s="13">
        <f t="shared" ca="1" si="0"/>
        <v>45297</v>
      </c>
      <c r="B54">
        <f t="shared" ca="1" si="1"/>
        <v>1</v>
      </c>
      <c r="C54">
        <f t="shared" ca="1" si="2"/>
        <v>2024</v>
      </c>
      <c r="D54">
        <f t="shared" ca="1" si="3"/>
        <v>6</v>
      </c>
      <c r="E54" t="str">
        <f t="shared" ca="1" si="4"/>
        <v>Saturday</v>
      </c>
      <c r="F54" s="12">
        <v>45768</v>
      </c>
      <c r="G54">
        <f t="shared" si="5"/>
        <v>21</v>
      </c>
      <c r="H54">
        <f t="shared" si="6"/>
        <v>4</v>
      </c>
      <c r="I54">
        <f t="shared" si="7"/>
        <v>2025</v>
      </c>
      <c r="J54" t="str">
        <f t="shared" si="8"/>
        <v>Monday</v>
      </c>
      <c r="K54" t="str">
        <f t="shared" si="9"/>
        <v>April</v>
      </c>
      <c r="L54" t="str">
        <f t="shared" ca="1" si="10"/>
        <v>1 YEAR 1 MONTH 1 DAY</v>
      </c>
      <c r="M54" t="str">
        <f t="shared" ca="1" si="11"/>
        <v xml:space="preserve">2 YEAR 4 MONTH 16 DAY </v>
      </c>
    </row>
    <row r="55" spans="1:13">
      <c r="A55" s="13">
        <f t="shared" ca="1" si="0"/>
        <v>45633</v>
      </c>
      <c r="B55">
        <f t="shared" ca="1" si="1"/>
        <v>12</v>
      </c>
      <c r="C55">
        <f t="shared" ca="1" si="2"/>
        <v>2024</v>
      </c>
      <c r="D55">
        <f t="shared" ca="1" si="3"/>
        <v>7</v>
      </c>
      <c r="E55" t="str">
        <f t="shared" ca="1" si="4"/>
        <v>Saturday</v>
      </c>
      <c r="F55" s="12">
        <v>45769</v>
      </c>
      <c r="G55">
        <f t="shared" si="5"/>
        <v>22</v>
      </c>
      <c r="H55">
        <f t="shared" si="6"/>
        <v>4</v>
      </c>
      <c r="I55">
        <f t="shared" si="7"/>
        <v>2025</v>
      </c>
      <c r="J55" t="str">
        <f t="shared" si="8"/>
        <v>Tuesday</v>
      </c>
      <c r="K55" t="str">
        <f t="shared" si="9"/>
        <v>April</v>
      </c>
      <c r="L55" t="str">
        <f t="shared" ca="1" si="10"/>
        <v>1 YEAR 1 MONTH 0 DAY</v>
      </c>
      <c r="M55" t="str">
        <f t="shared" ca="1" si="11"/>
        <v xml:space="preserve">1 YEAR 5 MONTH 15 DAY </v>
      </c>
    </row>
    <row r="56" spans="1:13">
      <c r="A56" s="13">
        <f t="shared" ca="1" si="0"/>
        <v>39421</v>
      </c>
      <c r="B56">
        <f t="shared" ca="1" si="1"/>
        <v>12</v>
      </c>
      <c r="C56">
        <f t="shared" ca="1" si="2"/>
        <v>2007</v>
      </c>
      <c r="D56">
        <f t="shared" ca="1" si="3"/>
        <v>5</v>
      </c>
      <c r="E56" t="str">
        <f t="shared" ca="1" si="4"/>
        <v>Wednesday</v>
      </c>
      <c r="F56" s="12">
        <v>45770</v>
      </c>
      <c r="G56">
        <f t="shared" si="5"/>
        <v>23</v>
      </c>
      <c r="H56">
        <f t="shared" si="6"/>
        <v>4</v>
      </c>
      <c r="I56">
        <f t="shared" si="7"/>
        <v>2025</v>
      </c>
      <c r="J56" t="str">
        <f t="shared" si="8"/>
        <v>Wednesday</v>
      </c>
      <c r="K56" t="str">
        <f t="shared" si="9"/>
        <v>April</v>
      </c>
      <c r="L56" t="str">
        <f t="shared" ca="1" si="10"/>
        <v>1 YEAR 0 MONTH 29 DAY</v>
      </c>
      <c r="M56" t="str">
        <f t="shared" ca="1" si="11"/>
        <v xml:space="preserve">18 YEAR 5 MONTH 17 DAY </v>
      </c>
    </row>
    <row r="57" spans="1:13">
      <c r="A57" s="13">
        <f t="shared" ca="1" si="0"/>
        <v>40226</v>
      </c>
      <c r="B57">
        <f t="shared" ca="1" si="1"/>
        <v>2</v>
      </c>
      <c r="C57">
        <f t="shared" ca="1" si="2"/>
        <v>2010</v>
      </c>
      <c r="D57">
        <f t="shared" ca="1" si="3"/>
        <v>17</v>
      </c>
      <c r="E57" t="str">
        <f t="shared" ca="1" si="4"/>
        <v>Wednesday</v>
      </c>
      <c r="F57" s="12">
        <v>45771</v>
      </c>
      <c r="G57">
        <f t="shared" si="5"/>
        <v>24</v>
      </c>
      <c r="H57">
        <f t="shared" si="6"/>
        <v>4</v>
      </c>
      <c r="I57">
        <f t="shared" si="7"/>
        <v>2025</v>
      </c>
      <c r="J57" t="str">
        <f t="shared" si="8"/>
        <v>Thursday</v>
      </c>
      <c r="K57" t="str">
        <f t="shared" si="9"/>
        <v>April</v>
      </c>
      <c r="L57" t="str">
        <f t="shared" ca="1" si="10"/>
        <v>1 YEAR 0 MONTH 28 DAY</v>
      </c>
      <c r="M57" t="str">
        <f t="shared" ca="1" si="11"/>
        <v xml:space="preserve">16 YEAR 3 MONTH 5 DAY </v>
      </c>
    </row>
    <row r="58" spans="1:13">
      <c r="A58" s="13">
        <f t="shared" ca="1" si="0"/>
        <v>40989</v>
      </c>
      <c r="B58">
        <f t="shared" ca="1" si="1"/>
        <v>3</v>
      </c>
      <c r="C58">
        <f t="shared" ca="1" si="2"/>
        <v>2012</v>
      </c>
      <c r="D58">
        <f t="shared" ca="1" si="3"/>
        <v>21</v>
      </c>
      <c r="E58" t="str">
        <f t="shared" ca="1" si="4"/>
        <v>Wednesday</v>
      </c>
      <c r="F58" s="12">
        <v>45772</v>
      </c>
      <c r="G58">
        <f t="shared" si="5"/>
        <v>25</v>
      </c>
      <c r="H58">
        <f t="shared" si="6"/>
        <v>4</v>
      </c>
      <c r="I58">
        <f t="shared" si="7"/>
        <v>2025</v>
      </c>
      <c r="J58" t="str">
        <f t="shared" si="8"/>
        <v>Friday</v>
      </c>
      <c r="K58" t="str">
        <f t="shared" si="9"/>
        <v>April</v>
      </c>
      <c r="L58" t="str">
        <f t="shared" ca="1" si="10"/>
        <v>1 YEAR 0 MONTH 27 DAY</v>
      </c>
      <c r="M58" t="str">
        <f t="shared" ca="1" si="11"/>
        <v xml:space="preserve">14 YEAR 2 MONTH 1 DAY </v>
      </c>
    </row>
    <row r="59" spans="1:13">
      <c r="A59" s="13">
        <f t="shared" ca="1" si="0"/>
        <v>40672</v>
      </c>
      <c r="B59">
        <f t="shared" ca="1" si="1"/>
        <v>5</v>
      </c>
      <c r="C59">
        <f t="shared" ca="1" si="2"/>
        <v>2011</v>
      </c>
      <c r="D59">
        <f t="shared" ca="1" si="3"/>
        <v>9</v>
      </c>
      <c r="E59" t="str">
        <f t="shared" ca="1" si="4"/>
        <v>Monday</v>
      </c>
      <c r="F59" s="12">
        <v>45773</v>
      </c>
      <c r="G59">
        <f t="shared" si="5"/>
        <v>26</v>
      </c>
      <c r="H59">
        <f t="shared" si="6"/>
        <v>4</v>
      </c>
      <c r="I59">
        <f t="shared" si="7"/>
        <v>2025</v>
      </c>
      <c r="J59" t="str">
        <f t="shared" si="8"/>
        <v>Saturday</v>
      </c>
      <c r="K59" t="str">
        <f t="shared" si="9"/>
        <v>April</v>
      </c>
      <c r="L59" t="str">
        <f t="shared" ca="1" si="10"/>
        <v>1 YEAR 0 MONTH 26 DAY</v>
      </c>
      <c r="M59" t="str">
        <f t="shared" ca="1" si="11"/>
        <v xml:space="preserve">15 YEAR 0 MONTH 13 DAY </v>
      </c>
    </row>
    <row r="60" spans="1:13">
      <c r="A60" s="13">
        <f t="shared" ca="1" si="0"/>
        <v>43399</v>
      </c>
      <c r="B60">
        <f t="shared" ca="1" si="1"/>
        <v>10</v>
      </c>
      <c r="C60">
        <f t="shared" ca="1" si="2"/>
        <v>2018</v>
      </c>
      <c r="D60">
        <f t="shared" ca="1" si="3"/>
        <v>26</v>
      </c>
      <c r="E60" t="str">
        <f t="shared" ca="1" si="4"/>
        <v>Friday</v>
      </c>
      <c r="F60" s="12">
        <v>45774</v>
      </c>
      <c r="G60">
        <f t="shared" si="5"/>
        <v>27</v>
      </c>
      <c r="H60">
        <f t="shared" si="6"/>
        <v>4</v>
      </c>
      <c r="I60">
        <f t="shared" si="7"/>
        <v>2025</v>
      </c>
      <c r="J60" t="str">
        <f t="shared" si="8"/>
        <v>Sunday</v>
      </c>
      <c r="K60" t="str">
        <f t="shared" si="9"/>
        <v>April</v>
      </c>
      <c r="L60" t="str">
        <f t="shared" ca="1" si="10"/>
        <v>1 YEAR 0 MONTH 25 DAY</v>
      </c>
      <c r="M60" t="str">
        <f t="shared" ca="1" si="11"/>
        <v xml:space="preserve">7 YEAR 6 MONTH 26 DAY </v>
      </c>
    </row>
    <row r="61" spans="1:13">
      <c r="A61" s="13">
        <f t="shared" ca="1" si="0"/>
        <v>44818</v>
      </c>
      <c r="B61">
        <f t="shared" ca="1" si="1"/>
        <v>9</v>
      </c>
      <c r="C61">
        <f t="shared" ca="1" si="2"/>
        <v>2022</v>
      </c>
      <c r="D61">
        <f t="shared" ca="1" si="3"/>
        <v>14</v>
      </c>
      <c r="E61" t="str">
        <f t="shared" ca="1" si="4"/>
        <v>Wednesday</v>
      </c>
      <c r="F61" s="12">
        <v>45775</v>
      </c>
      <c r="G61">
        <f t="shared" si="5"/>
        <v>28</v>
      </c>
      <c r="H61">
        <f t="shared" si="6"/>
        <v>4</v>
      </c>
      <c r="I61">
        <f t="shared" si="7"/>
        <v>2025</v>
      </c>
      <c r="J61" t="str">
        <f t="shared" si="8"/>
        <v>Monday</v>
      </c>
      <c r="K61" t="str">
        <f t="shared" si="9"/>
        <v>April</v>
      </c>
      <c r="L61" t="str">
        <f t="shared" ca="1" si="10"/>
        <v>1 YEAR 0 MONTH 24 DAY</v>
      </c>
      <c r="M61" t="str">
        <f t="shared" ca="1" si="11"/>
        <v xml:space="preserve">3 YEAR 8 MONTH 8 DAY </v>
      </c>
    </row>
    <row r="62" spans="1:13">
      <c r="A62" s="13">
        <f t="shared" ca="1" si="0"/>
        <v>40818</v>
      </c>
      <c r="B62">
        <f t="shared" ca="1" si="1"/>
        <v>10</v>
      </c>
      <c r="C62">
        <f t="shared" ca="1" si="2"/>
        <v>2011</v>
      </c>
      <c r="D62">
        <f t="shared" ca="1" si="3"/>
        <v>2</v>
      </c>
      <c r="E62" t="str">
        <f t="shared" ca="1" si="4"/>
        <v>Sunday</v>
      </c>
      <c r="F62" s="12">
        <v>45776</v>
      </c>
      <c r="G62">
        <f t="shared" si="5"/>
        <v>29</v>
      </c>
      <c r="H62">
        <f t="shared" si="6"/>
        <v>4</v>
      </c>
      <c r="I62">
        <f t="shared" si="7"/>
        <v>2025</v>
      </c>
      <c r="J62" t="str">
        <f t="shared" si="8"/>
        <v>Tuesday</v>
      </c>
      <c r="K62" t="str">
        <f t="shared" si="9"/>
        <v>April</v>
      </c>
      <c r="L62" t="str">
        <f t="shared" ca="1" si="10"/>
        <v>1 YEAR 0 MONTH 23 DAY</v>
      </c>
      <c r="M62" t="str">
        <f t="shared" ca="1" si="11"/>
        <v xml:space="preserve">14 YEAR 7 MONTH 20 DAY </v>
      </c>
    </row>
    <row r="63" spans="1:13">
      <c r="A63" s="13">
        <f t="shared" ca="1" si="0"/>
        <v>40500</v>
      </c>
      <c r="B63">
        <f t="shared" ca="1" si="1"/>
        <v>11</v>
      </c>
      <c r="C63">
        <f t="shared" ca="1" si="2"/>
        <v>2010</v>
      </c>
      <c r="D63">
        <f t="shared" ca="1" si="3"/>
        <v>18</v>
      </c>
      <c r="E63" t="str">
        <f t="shared" ca="1" si="4"/>
        <v>Thursday</v>
      </c>
      <c r="F63" s="12">
        <v>45777</v>
      </c>
      <c r="G63">
        <f t="shared" si="5"/>
        <v>30</v>
      </c>
      <c r="H63">
        <f t="shared" si="6"/>
        <v>4</v>
      </c>
      <c r="I63">
        <f t="shared" si="7"/>
        <v>2025</v>
      </c>
      <c r="J63" t="str">
        <f t="shared" si="8"/>
        <v>Wednesday</v>
      </c>
      <c r="K63" t="str">
        <f t="shared" si="9"/>
        <v>April</v>
      </c>
      <c r="L63" t="str">
        <f t="shared" ca="1" si="10"/>
        <v>1 YEAR 0 MONTH 22 DAY</v>
      </c>
      <c r="M63" t="str">
        <f t="shared" ca="1" si="11"/>
        <v xml:space="preserve">15 YEAR 6 MONTH 4 DAY </v>
      </c>
    </row>
    <row r="64" spans="1:13">
      <c r="A64" s="13">
        <f t="shared" ca="1" si="0"/>
        <v>46126</v>
      </c>
      <c r="B64">
        <f t="shared" ca="1" si="1"/>
        <v>4</v>
      </c>
      <c r="C64">
        <f t="shared" ca="1" si="2"/>
        <v>2026</v>
      </c>
      <c r="D64">
        <f t="shared" ca="1" si="3"/>
        <v>14</v>
      </c>
      <c r="E64" t="str">
        <f t="shared" ca="1" si="4"/>
        <v>Tuesday</v>
      </c>
      <c r="F64" s="12">
        <v>45778</v>
      </c>
      <c r="G64">
        <f t="shared" si="5"/>
        <v>1</v>
      </c>
      <c r="H64">
        <f t="shared" si="6"/>
        <v>5</v>
      </c>
      <c r="I64">
        <f t="shared" si="7"/>
        <v>2025</v>
      </c>
      <c r="J64" t="str">
        <f t="shared" si="8"/>
        <v>Thursday</v>
      </c>
      <c r="K64" t="str">
        <f t="shared" si="9"/>
        <v>May</v>
      </c>
      <c r="L64" t="str">
        <f t="shared" ca="1" si="10"/>
        <v>1 YEAR 0 MONTH 21 DAY</v>
      </c>
      <c r="M64" t="str">
        <f t="shared" ca="1" si="11"/>
        <v xml:space="preserve">0 YEAR 1 MONTH 8 DAY </v>
      </c>
    </row>
    <row r="65" spans="1:13">
      <c r="A65" s="13">
        <f t="shared" ca="1" si="0"/>
        <v>42602</v>
      </c>
      <c r="B65">
        <f t="shared" ca="1" si="1"/>
        <v>8</v>
      </c>
      <c r="C65">
        <f t="shared" ca="1" si="2"/>
        <v>2016</v>
      </c>
      <c r="D65">
        <f t="shared" ca="1" si="3"/>
        <v>20</v>
      </c>
      <c r="E65" t="str">
        <f t="shared" ca="1" si="4"/>
        <v>Saturday</v>
      </c>
      <c r="F65" s="12">
        <v>45779</v>
      </c>
      <c r="G65">
        <f t="shared" si="5"/>
        <v>2</v>
      </c>
      <c r="H65">
        <f t="shared" si="6"/>
        <v>5</v>
      </c>
      <c r="I65">
        <f t="shared" si="7"/>
        <v>2025</v>
      </c>
      <c r="J65" t="str">
        <f t="shared" si="8"/>
        <v>Friday</v>
      </c>
      <c r="K65" t="str">
        <f t="shared" si="9"/>
        <v>May</v>
      </c>
      <c r="L65" t="str">
        <f t="shared" ca="1" si="10"/>
        <v>1 YEAR 0 MONTH 20 DAY</v>
      </c>
      <c r="M65" t="str">
        <f t="shared" ca="1" si="11"/>
        <v xml:space="preserve">9 YEAR 9 MONTH 2 DAY </v>
      </c>
    </row>
    <row r="66" spans="1:13">
      <c r="A66" s="13">
        <f t="shared" ca="1" si="0"/>
        <v>38689</v>
      </c>
      <c r="B66">
        <f t="shared" ca="1" si="1"/>
        <v>12</v>
      </c>
      <c r="C66">
        <f t="shared" ca="1" si="2"/>
        <v>2005</v>
      </c>
      <c r="D66">
        <f t="shared" ca="1" si="3"/>
        <v>3</v>
      </c>
      <c r="E66" t="str">
        <f t="shared" ca="1" si="4"/>
        <v>Saturday</v>
      </c>
      <c r="F66" s="12">
        <v>45780</v>
      </c>
      <c r="G66">
        <f t="shared" si="5"/>
        <v>3</v>
      </c>
      <c r="H66">
        <f t="shared" si="6"/>
        <v>5</v>
      </c>
      <c r="I66">
        <f t="shared" si="7"/>
        <v>2025</v>
      </c>
      <c r="J66" t="str">
        <f t="shared" si="8"/>
        <v>Saturday</v>
      </c>
      <c r="K66" t="str">
        <f t="shared" si="9"/>
        <v>May</v>
      </c>
      <c r="L66" t="str">
        <f t="shared" ca="1" si="10"/>
        <v>1 YEAR 0 MONTH 19 DAY</v>
      </c>
      <c r="M66" t="str">
        <f t="shared" ca="1" si="11"/>
        <v xml:space="preserve">20 YEAR 5 MONTH 19 DAY </v>
      </c>
    </row>
    <row r="67" spans="1:13">
      <c r="A67" s="13">
        <f t="shared" ref="A67:A130" ca="1" si="12">RANDBETWEEN(DATE(2003,7,23),TODAY())</f>
        <v>45124</v>
      </c>
      <c r="B67">
        <f t="shared" ref="B67:B130" ca="1" si="13">MONTH(A67)</f>
        <v>7</v>
      </c>
      <c r="C67">
        <f t="shared" ref="C67:C130" ca="1" si="14">YEAR(A67)</f>
        <v>2023</v>
      </c>
      <c r="D67">
        <f t="shared" ref="D67:D130" ca="1" si="15">DAY(A67)</f>
        <v>17</v>
      </c>
      <c r="E67" t="str">
        <f t="shared" ref="E67:E130" ca="1" si="16">TEXT(A67,"dddd")</f>
        <v>Monday</v>
      </c>
      <c r="F67" s="12">
        <v>45781</v>
      </c>
      <c r="G67">
        <f t="shared" ref="G67:G130" si="17">DAY(F67)</f>
        <v>4</v>
      </c>
      <c r="H67">
        <f t="shared" ref="H67:H130" si="18">MONTH(F67)</f>
        <v>5</v>
      </c>
      <c r="I67">
        <f t="shared" ref="I67:I130" si="19">YEAR(F67)</f>
        <v>2025</v>
      </c>
      <c r="J67" t="str">
        <f t="shared" ref="J67:J130" si="20">TEXT(F67,"dddd")</f>
        <v>Sunday</v>
      </c>
      <c r="K67" t="str">
        <f t="shared" ref="K67:K130" si="21">TEXT(F67,"mmmm")</f>
        <v>May</v>
      </c>
      <c r="L67" t="str">
        <f t="shared" ref="L67:L130" ca="1" si="22">DATEDIF(F67,TODAY(),"Y")&amp;" YEAR "&amp;DATEDIF(F67,TODAY(),"YM")&amp;" MONTH "&amp;DATEDIF(F67,TODAY(),"MD")&amp;" DAY"</f>
        <v>1 YEAR 0 MONTH 18 DAY</v>
      </c>
      <c r="M67" t="str">
        <f t="shared" ref="M67:M130" ca="1" si="23">DATEDIF(A67,TODAY(),"Y")&amp;" YEAR "&amp;DATEDIF(A67,TODAY(),"YM")&amp;" MONTH "&amp;DATEDIF(A67,TODAY(),"MD")&amp;" DAY "</f>
        <v xml:space="preserve">2 YEAR 10 MONTH 5 DAY </v>
      </c>
    </row>
    <row r="68" spans="1:13">
      <c r="A68" s="13">
        <f t="shared" ca="1" si="12"/>
        <v>45623</v>
      </c>
      <c r="B68">
        <f t="shared" ca="1" si="13"/>
        <v>11</v>
      </c>
      <c r="C68">
        <f t="shared" ca="1" si="14"/>
        <v>2024</v>
      </c>
      <c r="D68">
        <f t="shared" ca="1" si="15"/>
        <v>27</v>
      </c>
      <c r="E68" t="str">
        <f t="shared" ca="1" si="16"/>
        <v>Wednesday</v>
      </c>
      <c r="F68" s="12">
        <v>45782</v>
      </c>
      <c r="G68">
        <f t="shared" si="17"/>
        <v>5</v>
      </c>
      <c r="H68">
        <f t="shared" si="18"/>
        <v>5</v>
      </c>
      <c r="I68">
        <f t="shared" si="19"/>
        <v>2025</v>
      </c>
      <c r="J68" t="str">
        <f t="shared" si="20"/>
        <v>Monday</v>
      </c>
      <c r="K68" t="str">
        <f t="shared" si="21"/>
        <v>May</v>
      </c>
      <c r="L68" t="str">
        <f t="shared" ca="1" si="22"/>
        <v>1 YEAR 0 MONTH 17 DAY</v>
      </c>
      <c r="M68" t="str">
        <f t="shared" ca="1" si="23"/>
        <v xml:space="preserve">1 YEAR 5 MONTH 25 DAY </v>
      </c>
    </row>
    <row r="69" spans="1:13">
      <c r="A69" s="13">
        <f t="shared" ca="1" si="12"/>
        <v>43512</v>
      </c>
      <c r="B69">
        <f t="shared" ca="1" si="13"/>
        <v>2</v>
      </c>
      <c r="C69">
        <f t="shared" ca="1" si="14"/>
        <v>2019</v>
      </c>
      <c r="D69">
        <f t="shared" ca="1" si="15"/>
        <v>16</v>
      </c>
      <c r="E69" t="str">
        <f t="shared" ca="1" si="16"/>
        <v>Saturday</v>
      </c>
      <c r="F69" s="12">
        <v>45783</v>
      </c>
      <c r="G69">
        <f t="shared" si="17"/>
        <v>6</v>
      </c>
      <c r="H69">
        <f t="shared" si="18"/>
        <v>5</v>
      </c>
      <c r="I69">
        <f t="shared" si="19"/>
        <v>2025</v>
      </c>
      <c r="J69" t="str">
        <f t="shared" si="20"/>
        <v>Tuesday</v>
      </c>
      <c r="K69" t="str">
        <f t="shared" si="21"/>
        <v>May</v>
      </c>
      <c r="L69" t="str">
        <f t="shared" ca="1" si="22"/>
        <v>1 YEAR 0 MONTH 16 DAY</v>
      </c>
      <c r="M69" t="str">
        <f t="shared" ca="1" si="23"/>
        <v xml:space="preserve">7 YEAR 3 MONTH 6 DAY </v>
      </c>
    </row>
    <row r="70" spans="1:13">
      <c r="A70" s="13">
        <f t="shared" ca="1" si="12"/>
        <v>38121</v>
      </c>
      <c r="B70">
        <f t="shared" ca="1" si="13"/>
        <v>5</v>
      </c>
      <c r="C70">
        <f t="shared" ca="1" si="14"/>
        <v>2004</v>
      </c>
      <c r="D70">
        <f t="shared" ca="1" si="15"/>
        <v>14</v>
      </c>
      <c r="E70" t="str">
        <f t="shared" ca="1" si="16"/>
        <v>Friday</v>
      </c>
      <c r="F70" s="12">
        <v>45784</v>
      </c>
      <c r="G70">
        <f t="shared" si="17"/>
        <v>7</v>
      </c>
      <c r="H70">
        <f t="shared" si="18"/>
        <v>5</v>
      </c>
      <c r="I70">
        <f t="shared" si="19"/>
        <v>2025</v>
      </c>
      <c r="J70" t="str">
        <f t="shared" si="20"/>
        <v>Wednesday</v>
      </c>
      <c r="K70" t="str">
        <f t="shared" si="21"/>
        <v>May</v>
      </c>
      <c r="L70" t="str">
        <f t="shared" ca="1" si="22"/>
        <v>1 YEAR 0 MONTH 15 DAY</v>
      </c>
      <c r="M70" t="str">
        <f t="shared" ca="1" si="23"/>
        <v xml:space="preserve">22 YEAR 0 MONTH 8 DAY </v>
      </c>
    </row>
    <row r="71" spans="1:13">
      <c r="A71" s="13">
        <f t="shared" ca="1" si="12"/>
        <v>41644</v>
      </c>
      <c r="B71">
        <f t="shared" ca="1" si="13"/>
        <v>1</v>
      </c>
      <c r="C71">
        <f t="shared" ca="1" si="14"/>
        <v>2014</v>
      </c>
      <c r="D71">
        <f t="shared" ca="1" si="15"/>
        <v>5</v>
      </c>
      <c r="E71" t="str">
        <f t="shared" ca="1" si="16"/>
        <v>Sunday</v>
      </c>
      <c r="F71" s="12">
        <v>45785</v>
      </c>
      <c r="G71">
        <f t="shared" si="17"/>
        <v>8</v>
      </c>
      <c r="H71">
        <f t="shared" si="18"/>
        <v>5</v>
      </c>
      <c r="I71">
        <f t="shared" si="19"/>
        <v>2025</v>
      </c>
      <c r="J71" t="str">
        <f t="shared" si="20"/>
        <v>Thursday</v>
      </c>
      <c r="K71" t="str">
        <f t="shared" si="21"/>
        <v>May</v>
      </c>
      <c r="L71" t="str">
        <f t="shared" ca="1" si="22"/>
        <v>1 YEAR 0 MONTH 14 DAY</v>
      </c>
      <c r="M71" t="str">
        <f t="shared" ca="1" si="23"/>
        <v xml:space="preserve">12 YEAR 4 MONTH 17 DAY </v>
      </c>
    </row>
    <row r="72" spans="1:13">
      <c r="A72" s="13">
        <f t="shared" ca="1" si="12"/>
        <v>42466</v>
      </c>
      <c r="B72">
        <f t="shared" ca="1" si="13"/>
        <v>4</v>
      </c>
      <c r="C72">
        <f t="shared" ca="1" si="14"/>
        <v>2016</v>
      </c>
      <c r="D72">
        <f t="shared" ca="1" si="15"/>
        <v>6</v>
      </c>
      <c r="E72" t="str">
        <f t="shared" ca="1" si="16"/>
        <v>Wednesday</v>
      </c>
      <c r="F72" s="12">
        <v>45786</v>
      </c>
      <c r="G72">
        <f t="shared" si="17"/>
        <v>9</v>
      </c>
      <c r="H72">
        <f t="shared" si="18"/>
        <v>5</v>
      </c>
      <c r="I72">
        <f t="shared" si="19"/>
        <v>2025</v>
      </c>
      <c r="J72" t="str">
        <f t="shared" si="20"/>
        <v>Friday</v>
      </c>
      <c r="K72" t="str">
        <f t="shared" si="21"/>
        <v>May</v>
      </c>
      <c r="L72" t="str">
        <f t="shared" ca="1" si="22"/>
        <v>1 YEAR 0 MONTH 13 DAY</v>
      </c>
      <c r="M72" t="str">
        <f t="shared" ca="1" si="23"/>
        <v xml:space="preserve">10 YEAR 1 MONTH 16 DAY </v>
      </c>
    </row>
    <row r="73" spans="1:13">
      <c r="A73" s="13">
        <f t="shared" ca="1" si="12"/>
        <v>42714</v>
      </c>
      <c r="B73">
        <f t="shared" ca="1" si="13"/>
        <v>12</v>
      </c>
      <c r="C73">
        <f t="shared" ca="1" si="14"/>
        <v>2016</v>
      </c>
      <c r="D73">
        <f t="shared" ca="1" si="15"/>
        <v>10</v>
      </c>
      <c r="E73" t="str">
        <f t="shared" ca="1" si="16"/>
        <v>Saturday</v>
      </c>
      <c r="F73" s="12">
        <v>45787</v>
      </c>
      <c r="G73">
        <f t="shared" si="17"/>
        <v>10</v>
      </c>
      <c r="H73">
        <f t="shared" si="18"/>
        <v>5</v>
      </c>
      <c r="I73">
        <f t="shared" si="19"/>
        <v>2025</v>
      </c>
      <c r="J73" t="str">
        <f t="shared" si="20"/>
        <v>Saturday</v>
      </c>
      <c r="K73" t="str">
        <f t="shared" si="21"/>
        <v>May</v>
      </c>
      <c r="L73" t="str">
        <f t="shared" ca="1" si="22"/>
        <v>1 YEAR 0 MONTH 12 DAY</v>
      </c>
      <c r="M73" t="str">
        <f t="shared" ca="1" si="23"/>
        <v xml:space="preserve">9 YEAR 5 MONTH 12 DAY </v>
      </c>
    </row>
    <row r="74" spans="1:13">
      <c r="A74" s="13">
        <f t="shared" ca="1" si="12"/>
        <v>42158</v>
      </c>
      <c r="B74">
        <f t="shared" ca="1" si="13"/>
        <v>6</v>
      </c>
      <c r="C74">
        <f t="shared" ca="1" si="14"/>
        <v>2015</v>
      </c>
      <c r="D74">
        <f t="shared" ca="1" si="15"/>
        <v>3</v>
      </c>
      <c r="E74" t="str">
        <f t="shared" ca="1" si="16"/>
        <v>Wednesday</v>
      </c>
      <c r="F74" s="12">
        <v>45788</v>
      </c>
      <c r="G74">
        <f t="shared" si="17"/>
        <v>11</v>
      </c>
      <c r="H74">
        <f t="shared" si="18"/>
        <v>5</v>
      </c>
      <c r="I74">
        <f t="shared" si="19"/>
        <v>2025</v>
      </c>
      <c r="J74" t="str">
        <f t="shared" si="20"/>
        <v>Sunday</v>
      </c>
      <c r="K74" t="str">
        <f t="shared" si="21"/>
        <v>May</v>
      </c>
      <c r="L74" t="str">
        <f t="shared" ca="1" si="22"/>
        <v>1 YEAR 0 MONTH 11 DAY</v>
      </c>
      <c r="M74" t="str">
        <f t="shared" ca="1" si="23"/>
        <v xml:space="preserve">10 YEAR 11 MONTH 19 DAY </v>
      </c>
    </row>
    <row r="75" spans="1:13">
      <c r="A75" s="13">
        <f t="shared" ca="1" si="12"/>
        <v>46103</v>
      </c>
      <c r="B75">
        <f t="shared" ca="1" si="13"/>
        <v>3</v>
      </c>
      <c r="C75">
        <f t="shared" ca="1" si="14"/>
        <v>2026</v>
      </c>
      <c r="D75">
        <f t="shared" ca="1" si="15"/>
        <v>22</v>
      </c>
      <c r="E75" t="str">
        <f t="shared" ca="1" si="16"/>
        <v>Sunday</v>
      </c>
      <c r="F75" s="12">
        <v>45789</v>
      </c>
      <c r="G75">
        <f t="shared" si="17"/>
        <v>12</v>
      </c>
      <c r="H75">
        <f t="shared" si="18"/>
        <v>5</v>
      </c>
      <c r="I75">
        <f t="shared" si="19"/>
        <v>2025</v>
      </c>
      <c r="J75" t="str">
        <f t="shared" si="20"/>
        <v>Monday</v>
      </c>
      <c r="K75" t="str">
        <f t="shared" si="21"/>
        <v>May</v>
      </c>
      <c r="L75" t="str">
        <f t="shared" ca="1" si="22"/>
        <v>1 YEAR 0 MONTH 10 DAY</v>
      </c>
      <c r="M75" t="str">
        <f t="shared" ca="1" si="23"/>
        <v xml:space="preserve">0 YEAR 2 MONTH 0 DAY </v>
      </c>
    </row>
    <row r="76" spans="1:13">
      <c r="A76" s="13">
        <f t="shared" ca="1" si="12"/>
        <v>45357</v>
      </c>
      <c r="B76">
        <f t="shared" ca="1" si="13"/>
        <v>3</v>
      </c>
      <c r="C76">
        <f t="shared" ca="1" si="14"/>
        <v>2024</v>
      </c>
      <c r="D76">
        <f t="shared" ca="1" si="15"/>
        <v>6</v>
      </c>
      <c r="E76" t="str">
        <f t="shared" ca="1" si="16"/>
        <v>Wednesday</v>
      </c>
      <c r="F76" s="12">
        <v>45790</v>
      </c>
      <c r="G76">
        <f t="shared" si="17"/>
        <v>13</v>
      </c>
      <c r="H76">
        <f t="shared" si="18"/>
        <v>5</v>
      </c>
      <c r="I76">
        <f t="shared" si="19"/>
        <v>2025</v>
      </c>
      <c r="J76" t="str">
        <f t="shared" si="20"/>
        <v>Tuesday</v>
      </c>
      <c r="K76" t="str">
        <f t="shared" si="21"/>
        <v>May</v>
      </c>
      <c r="L76" t="str">
        <f t="shared" ca="1" si="22"/>
        <v>1 YEAR 0 MONTH 9 DAY</v>
      </c>
      <c r="M76" t="str">
        <f t="shared" ca="1" si="23"/>
        <v xml:space="preserve">2 YEAR 2 MONTH 16 DAY </v>
      </c>
    </row>
    <row r="77" spans="1:13">
      <c r="A77" s="13">
        <f t="shared" ca="1" si="12"/>
        <v>38988</v>
      </c>
      <c r="B77">
        <f t="shared" ca="1" si="13"/>
        <v>9</v>
      </c>
      <c r="C77">
        <f t="shared" ca="1" si="14"/>
        <v>2006</v>
      </c>
      <c r="D77">
        <f t="shared" ca="1" si="15"/>
        <v>28</v>
      </c>
      <c r="E77" t="str">
        <f t="shared" ca="1" si="16"/>
        <v>Thursday</v>
      </c>
      <c r="F77" s="12">
        <v>45791</v>
      </c>
      <c r="G77">
        <f t="shared" si="17"/>
        <v>14</v>
      </c>
      <c r="H77">
        <f t="shared" si="18"/>
        <v>5</v>
      </c>
      <c r="I77">
        <f t="shared" si="19"/>
        <v>2025</v>
      </c>
      <c r="J77" t="str">
        <f t="shared" si="20"/>
        <v>Wednesday</v>
      </c>
      <c r="K77" t="str">
        <f t="shared" si="21"/>
        <v>May</v>
      </c>
      <c r="L77" t="str">
        <f t="shared" ca="1" si="22"/>
        <v>1 YEAR 0 MONTH 8 DAY</v>
      </c>
      <c r="M77" t="str">
        <f t="shared" ca="1" si="23"/>
        <v xml:space="preserve">19 YEAR 7 MONTH 24 DAY </v>
      </c>
    </row>
    <row r="78" spans="1:13">
      <c r="A78" s="13">
        <f t="shared" ca="1" si="12"/>
        <v>39846</v>
      </c>
      <c r="B78">
        <f t="shared" ca="1" si="13"/>
        <v>2</v>
      </c>
      <c r="C78">
        <f t="shared" ca="1" si="14"/>
        <v>2009</v>
      </c>
      <c r="D78">
        <f t="shared" ca="1" si="15"/>
        <v>2</v>
      </c>
      <c r="E78" t="str">
        <f t="shared" ca="1" si="16"/>
        <v>Monday</v>
      </c>
      <c r="F78" s="12">
        <v>45792</v>
      </c>
      <c r="G78">
        <f t="shared" si="17"/>
        <v>15</v>
      </c>
      <c r="H78">
        <f t="shared" si="18"/>
        <v>5</v>
      </c>
      <c r="I78">
        <f t="shared" si="19"/>
        <v>2025</v>
      </c>
      <c r="J78" t="str">
        <f t="shared" si="20"/>
        <v>Thursday</v>
      </c>
      <c r="K78" t="str">
        <f t="shared" si="21"/>
        <v>May</v>
      </c>
      <c r="L78" t="str">
        <f t="shared" ca="1" si="22"/>
        <v>1 YEAR 0 MONTH 7 DAY</v>
      </c>
      <c r="M78" t="str">
        <f t="shared" ca="1" si="23"/>
        <v xml:space="preserve">17 YEAR 3 MONTH 20 DAY </v>
      </c>
    </row>
    <row r="79" spans="1:13">
      <c r="A79" s="13">
        <f t="shared" ca="1" si="12"/>
        <v>40280</v>
      </c>
      <c r="B79">
        <f t="shared" ca="1" si="13"/>
        <v>4</v>
      </c>
      <c r="C79">
        <f t="shared" ca="1" si="14"/>
        <v>2010</v>
      </c>
      <c r="D79">
        <f t="shared" ca="1" si="15"/>
        <v>12</v>
      </c>
      <c r="E79" t="str">
        <f t="shared" ca="1" si="16"/>
        <v>Monday</v>
      </c>
      <c r="F79" s="12">
        <v>45793</v>
      </c>
      <c r="G79">
        <f t="shared" si="17"/>
        <v>16</v>
      </c>
      <c r="H79">
        <f t="shared" si="18"/>
        <v>5</v>
      </c>
      <c r="I79">
        <f t="shared" si="19"/>
        <v>2025</v>
      </c>
      <c r="J79" t="str">
        <f t="shared" si="20"/>
        <v>Friday</v>
      </c>
      <c r="K79" t="str">
        <f t="shared" si="21"/>
        <v>May</v>
      </c>
      <c r="L79" t="str">
        <f t="shared" ca="1" si="22"/>
        <v>1 YEAR 0 MONTH 6 DAY</v>
      </c>
      <c r="M79" t="str">
        <f t="shared" ca="1" si="23"/>
        <v xml:space="preserve">16 YEAR 1 MONTH 10 DAY </v>
      </c>
    </row>
    <row r="80" spans="1:13">
      <c r="A80" s="13">
        <f t="shared" ca="1" si="12"/>
        <v>37873</v>
      </c>
      <c r="B80">
        <f t="shared" ca="1" si="13"/>
        <v>9</v>
      </c>
      <c r="C80">
        <f t="shared" ca="1" si="14"/>
        <v>2003</v>
      </c>
      <c r="D80">
        <f t="shared" ca="1" si="15"/>
        <v>9</v>
      </c>
      <c r="E80" t="str">
        <f t="shared" ca="1" si="16"/>
        <v>Tuesday</v>
      </c>
      <c r="F80" s="12">
        <v>45794</v>
      </c>
      <c r="G80">
        <f t="shared" si="17"/>
        <v>17</v>
      </c>
      <c r="H80">
        <f t="shared" si="18"/>
        <v>5</v>
      </c>
      <c r="I80">
        <f t="shared" si="19"/>
        <v>2025</v>
      </c>
      <c r="J80" t="str">
        <f t="shared" si="20"/>
        <v>Saturday</v>
      </c>
      <c r="K80" t="str">
        <f t="shared" si="21"/>
        <v>May</v>
      </c>
      <c r="L80" t="str">
        <f t="shared" ca="1" si="22"/>
        <v>1 YEAR 0 MONTH 5 DAY</v>
      </c>
      <c r="M80" t="str">
        <f t="shared" ca="1" si="23"/>
        <v xml:space="preserve">22 YEAR 8 MONTH 13 DAY </v>
      </c>
    </row>
    <row r="81" spans="1:13">
      <c r="A81" s="13">
        <f t="shared" ca="1" si="12"/>
        <v>42319</v>
      </c>
      <c r="B81">
        <f t="shared" ca="1" si="13"/>
        <v>11</v>
      </c>
      <c r="C81">
        <f t="shared" ca="1" si="14"/>
        <v>2015</v>
      </c>
      <c r="D81">
        <f t="shared" ca="1" si="15"/>
        <v>11</v>
      </c>
      <c r="E81" t="str">
        <f t="shared" ca="1" si="16"/>
        <v>Wednesday</v>
      </c>
      <c r="F81" s="12">
        <v>45795</v>
      </c>
      <c r="G81">
        <f t="shared" si="17"/>
        <v>18</v>
      </c>
      <c r="H81">
        <f t="shared" si="18"/>
        <v>5</v>
      </c>
      <c r="I81">
        <f t="shared" si="19"/>
        <v>2025</v>
      </c>
      <c r="J81" t="str">
        <f t="shared" si="20"/>
        <v>Sunday</v>
      </c>
      <c r="K81" t="str">
        <f t="shared" si="21"/>
        <v>May</v>
      </c>
      <c r="L81" t="str">
        <f t="shared" ca="1" si="22"/>
        <v>1 YEAR 0 MONTH 4 DAY</v>
      </c>
      <c r="M81" t="str">
        <f t="shared" ca="1" si="23"/>
        <v xml:space="preserve">10 YEAR 6 MONTH 11 DAY </v>
      </c>
    </row>
    <row r="82" spans="1:13">
      <c r="A82" s="13">
        <f t="shared" ca="1" si="12"/>
        <v>41783</v>
      </c>
      <c r="B82">
        <f t="shared" ca="1" si="13"/>
        <v>5</v>
      </c>
      <c r="C82">
        <f t="shared" ca="1" si="14"/>
        <v>2014</v>
      </c>
      <c r="D82">
        <f t="shared" ca="1" si="15"/>
        <v>24</v>
      </c>
      <c r="E82" t="str">
        <f t="shared" ca="1" si="16"/>
        <v>Saturday</v>
      </c>
      <c r="F82" s="12">
        <v>45796</v>
      </c>
      <c r="G82">
        <f t="shared" si="17"/>
        <v>19</v>
      </c>
      <c r="H82">
        <f t="shared" si="18"/>
        <v>5</v>
      </c>
      <c r="I82">
        <f t="shared" si="19"/>
        <v>2025</v>
      </c>
      <c r="J82" t="str">
        <f t="shared" si="20"/>
        <v>Monday</v>
      </c>
      <c r="K82" t="str">
        <f t="shared" si="21"/>
        <v>May</v>
      </c>
      <c r="L82" t="str">
        <f t="shared" ca="1" si="22"/>
        <v>1 YEAR 0 MONTH 3 DAY</v>
      </c>
      <c r="M82" t="str">
        <f t="shared" ca="1" si="23"/>
        <v xml:space="preserve">11 YEAR 11 MONTH 28 DAY </v>
      </c>
    </row>
    <row r="83" spans="1:13">
      <c r="A83" s="13">
        <f t="shared" ca="1" si="12"/>
        <v>45660</v>
      </c>
      <c r="B83">
        <f t="shared" ca="1" si="13"/>
        <v>1</v>
      </c>
      <c r="C83">
        <f t="shared" ca="1" si="14"/>
        <v>2025</v>
      </c>
      <c r="D83">
        <f t="shared" ca="1" si="15"/>
        <v>3</v>
      </c>
      <c r="E83" t="str">
        <f t="shared" ca="1" si="16"/>
        <v>Friday</v>
      </c>
      <c r="F83" s="12">
        <v>45797</v>
      </c>
      <c r="G83">
        <f t="shared" si="17"/>
        <v>20</v>
      </c>
      <c r="H83">
        <f t="shared" si="18"/>
        <v>5</v>
      </c>
      <c r="I83">
        <f t="shared" si="19"/>
        <v>2025</v>
      </c>
      <c r="J83" t="str">
        <f t="shared" si="20"/>
        <v>Tuesday</v>
      </c>
      <c r="K83" t="str">
        <f t="shared" si="21"/>
        <v>May</v>
      </c>
      <c r="L83" t="str">
        <f t="shared" ca="1" si="22"/>
        <v>1 YEAR 0 MONTH 2 DAY</v>
      </c>
      <c r="M83" t="str">
        <f t="shared" ca="1" si="23"/>
        <v xml:space="preserve">1 YEAR 4 MONTH 19 DAY </v>
      </c>
    </row>
    <row r="84" spans="1:13">
      <c r="A84" s="13">
        <f t="shared" ca="1" si="12"/>
        <v>39005</v>
      </c>
      <c r="B84">
        <f t="shared" ca="1" si="13"/>
        <v>10</v>
      </c>
      <c r="C84">
        <f t="shared" ca="1" si="14"/>
        <v>2006</v>
      </c>
      <c r="D84">
        <f t="shared" ca="1" si="15"/>
        <v>15</v>
      </c>
      <c r="E84" t="str">
        <f t="shared" ca="1" si="16"/>
        <v>Sunday</v>
      </c>
      <c r="F84" s="12">
        <v>45798</v>
      </c>
      <c r="G84">
        <f t="shared" si="17"/>
        <v>21</v>
      </c>
      <c r="H84">
        <f t="shared" si="18"/>
        <v>5</v>
      </c>
      <c r="I84">
        <f t="shared" si="19"/>
        <v>2025</v>
      </c>
      <c r="J84" t="str">
        <f t="shared" si="20"/>
        <v>Wednesday</v>
      </c>
      <c r="K84" t="str">
        <f t="shared" si="21"/>
        <v>May</v>
      </c>
      <c r="L84" t="str">
        <f t="shared" ca="1" si="22"/>
        <v>1 YEAR 0 MONTH 1 DAY</v>
      </c>
      <c r="M84" t="str">
        <f t="shared" ca="1" si="23"/>
        <v xml:space="preserve">19 YEAR 7 MONTH 7 DAY </v>
      </c>
    </row>
    <row r="85" spans="1:13">
      <c r="A85" s="13">
        <f t="shared" ca="1" si="12"/>
        <v>40073</v>
      </c>
      <c r="B85">
        <f t="shared" ca="1" si="13"/>
        <v>9</v>
      </c>
      <c r="C85">
        <f t="shared" ca="1" si="14"/>
        <v>2009</v>
      </c>
      <c r="D85">
        <f t="shared" ca="1" si="15"/>
        <v>17</v>
      </c>
      <c r="E85" t="str">
        <f t="shared" ca="1" si="16"/>
        <v>Thursday</v>
      </c>
      <c r="F85" s="12">
        <v>45799</v>
      </c>
      <c r="G85">
        <f t="shared" si="17"/>
        <v>22</v>
      </c>
      <c r="H85">
        <f t="shared" si="18"/>
        <v>5</v>
      </c>
      <c r="I85">
        <f t="shared" si="19"/>
        <v>2025</v>
      </c>
      <c r="J85" t="str">
        <f t="shared" si="20"/>
        <v>Thursday</v>
      </c>
      <c r="K85" t="str">
        <f t="shared" si="21"/>
        <v>May</v>
      </c>
      <c r="L85" t="str">
        <f t="shared" ca="1" si="22"/>
        <v>1 YEAR 0 MONTH 0 DAY</v>
      </c>
      <c r="M85" t="str">
        <f t="shared" ca="1" si="23"/>
        <v xml:space="preserve">16 YEAR 8 MONTH 5 DAY </v>
      </c>
    </row>
    <row r="86" spans="1:13">
      <c r="A86" s="13">
        <f t="shared" ca="1" si="12"/>
        <v>45300</v>
      </c>
      <c r="B86">
        <f t="shared" ca="1" si="13"/>
        <v>1</v>
      </c>
      <c r="C86">
        <f t="shared" ca="1" si="14"/>
        <v>2024</v>
      </c>
      <c r="D86">
        <f t="shared" ca="1" si="15"/>
        <v>9</v>
      </c>
      <c r="E86" t="str">
        <f t="shared" ca="1" si="16"/>
        <v>Tuesday</v>
      </c>
      <c r="F86" s="12">
        <v>45800</v>
      </c>
      <c r="G86">
        <f t="shared" si="17"/>
        <v>23</v>
      </c>
      <c r="H86">
        <f t="shared" si="18"/>
        <v>5</v>
      </c>
      <c r="I86">
        <f t="shared" si="19"/>
        <v>2025</v>
      </c>
      <c r="J86" t="str">
        <f t="shared" si="20"/>
        <v>Friday</v>
      </c>
      <c r="K86" t="str">
        <f t="shared" si="21"/>
        <v>May</v>
      </c>
      <c r="L86" t="str">
        <f t="shared" ca="1" si="22"/>
        <v>0 YEAR 11 MONTH 29 DAY</v>
      </c>
      <c r="M86" t="str">
        <f t="shared" ca="1" si="23"/>
        <v xml:space="preserve">2 YEAR 4 MONTH 13 DAY </v>
      </c>
    </row>
    <row r="87" spans="1:13">
      <c r="A87" s="13">
        <f t="shared" ca="1" si="12"/>
        <v>42639</v>
      </c>
      <c r="B87">
        <f t="shared" ca="1" si="13"/>
        <v>9</v>
      </c>
      <c r="C87">
        <f t="shared" ca="1" si="14"/>
        <v>2016</v>
      </c>
      <c r="D87">
        <f t="shared" ca="1" si="15"/>
        <v>26</v>
      </c>
      <c r="E87" t="str">
        <f t="shared" ca="1" si="16"/>
        <v>Monday</v>
      </c>
      <c r="F87" s="12">
        <v>45801</v>
      </c>
      <c r="G87">
        <f t="shared" si="17"/>
        <v>24</v>
      </c>
      <c r="H87">
        <f t="shared" si="18"/>
        <v>5</v>
      </c>
      <c r="I87">
        <f t="shared" si="19"/>
        <v>2025</v>
      </c>
      <c r="J87" t="str">
        <f t="shared" si="20"/>
        <v>Saturday</v>
      </c>
      <c r="K87" t="str">
        <f t="shared" si="21"/>
        <v>May</v>
      </c>
      <c r="L87" t="str">
        <f t="shared" ca="1" si="22"/>
        <v>0 YEAR 11 MONTH 28 DAY</v>
      </c>
      <c r="M87" t="str">
        <f t="shared" ca="1" si="23"/>
        <v xml:space="preserve">9 YEAR 7 MONTH 26 DAY </v>
      </c>
    </row>
    <row r="88" spans="1:13">
      <c r="A88" s="13">
        <f t="shared" ca="1" si="12"/>
        <v>44440</v>
      </c>
      <c r="B88">
        <f t="shared" ca="1" si="13"/>
        <v>9</v>
      </c>
      <c r="C88">
        <f t="shared" ca="1" si="14"/>
        <v>2021</v>
      </c>
      <c r="D88">
        <f t="shared" ca="1" si="15"/>
        <v>1</v>
      </c>
      <c r="E88" t="str">
        <f t="shared" ca="1" si="16"/>
        <v>Wednesday</v>
      </c>
      <c r="F88" s="12">
        <v>45802</v>
      </c>
      <c r="G88">
        <f t="shared" si="17"/>
        <v>25</v>
      </c>
      <c r="H88">
        <f t="shared" si="18"/>
        <v>5</v>
      </c>
      <c r="I88">
        <f t="shared" si="19"/>
        <v>2025</v>
      </c>
      <c r="J88" t="str">
        <f t="shared" si="20"/>
        <v>Sunday</v>
      </c>
      <c r="K88" t="str">
        <f t="shared" si="21"/>
        <v>May</v>
      </c>
      <c r="L88" t="str">
        <f t="shared" ca="1" si="22"/>
        <v>0 YEAR 11 MONTH 27 DAY</v>
      </c>
      <c r="M88" t="str">
        <f t="shared" ca="1" si="23"/>
        <v xml:space="preserve">4 YEAR 8 MONTH 21 DAY </v>
      </c>
    </row>
    <row r="89" spans="1:13">
      <c r="A89" s="13">
        <f t="shared" ca="1" si="12"/>
        <v>42793</v>
      </c>
      <c r="B89">
        <f t="shared" ca="1" si="13"/>
        <v>2</v>
      </c>
      <c r="C89">
        <f t="shared" ca="1" si="14"/>
        <v>2017</v>
      </c>
      <c r="D89">
        <f t="shared" ca="1" si="15"/>
        <v>27</v>
      </c>
      <c r="E89" t="str">
        <f t="shared" ca="1" si="16"/>
        <v>Monday</v>
      </c>
      <c r="F89" s="12">
        <v>45803</v>
      </c>
      <c r="G89">
        <f t="shared" si="17"/>
        <v>26</v>
      </c>
      <c r="H89">
        <f t="shared" si="18"/>
        <v>5</v>
      </c>
      <c r="I89">
        <f t="shared" si="19"/>
        <v>2025</v>
      </c>
      <c r="J89" t="str">
        <f t="shared" si="20"/>
        <v>Monday</v>
      </c>
      <c r="K89" t="str">
        <f t="shared" si="21"/>
        <v>May</v>
      </c>
      <c r="L89" t="str">
        <f t="shared" ca="1" si="22"/>
        <v>0 YEAR 11 MONTH 26 DAY</v>
      </c>
      <c r="M89" t="str">
        <f t="shared" ca="1" si="23"/>
        <v xml:space="preserve">9 YEAR 2 MONTH 25 DAY </v>
      </c>
    </row>
    <row r="90" spans="1:13">
      <c r="A90" s="13">
        <f t="shared" ca="1" si="12"/>
        <v>39437</v>
      </c>
      <c r="B90">
        <f t="shared" ca="1" si="13"/>
        <v>12</v>
      </c>
      <c r="C90">
        <f t="shared" ca="1" si="14"/>
        <v>2007</v>
      </c>
      <c r="D90">
        <f t="shared" ca="1" si="15"/>
        <v>21</v>
      </c>
      <c r="E90" t="str">
        <f t="shared" ca="1" si="16"/>
        <v>Friday</v>
      </c>
      <c r="F90" s="12">
        <v>45804</v>
      </c>
      <c r="G90">
        <f t="shared" si="17"/>
        <v>27</v>
      </c>
      <c r="H90">
        <f t="shared" si="18"/>
        <v>5</v>
      </c>
      <c r="I90">
        <f t="shared" si="19"/>
        <v>2025</v>
      </c>
      <c r="J90" t="str">
        <f t="shared" si="20"/>
        <v>Tuesday</v>
      </c>
      <c r="K90" t="str">
        <f t="shared" si="21"/>
        <v>May</v>
      </c>
      <c r="L90" t="str">
        <f t="shared" ca="1" si="22"/>
        <v>0 YEAR 11 MONTH 25 DAY</v>
      </c>
      <c r="M90" t="str">
        <f t="shared" ca="1" si="23"/>
        <v xml:space="preserve">18 YEAR 5 MONTH 1 DAY </v>
      </c>
    </row>
    <row r="91" spans="1:13">
      <c r="A91" s="13">
        <f t="shared" ca="1" si="12"/>
        <v>45044</v>
      </c>
      <c r="B91">
        <f t="shared" ca="1" si="13"/>
        <v>4</v>
      </c>
      <c r="C91">
        <f t="shared" ca="1" si="14"/>
        <v>2023</v>
      </c>
      <c r="D91">
        <f t="shared" ca="1" si="15"/>
        <v>28</v>
      </c>
      <c r="E91" t="str">
        <f t="shared" ca="1" si="16"/>
        <v>Friday</v>
      </c>
      <c r="F91" s="12">
        <v>45805</v>
      </c>
      <c r="G91">
        <f t="shared" si="17"/>
        <v>28</v>
      </c>
      <c r="H91">
        <f t="shared" si="18"/>
        <v>5</v>
      </c>
      <c r="I91">
        <f t="shared" si="19"/>
        <v>2025</v>
      </c>
      <c r="J91" t="str">
        <f t="shared" si="20"/>
        <v>Wednesday</v>
      </c>
      <c r="K91" t="str">
        <f t="shared" si="21"/>
        <v>May</v>
      </c>
      <c r="L91" t="str">
        <f t="shared" ca="1" si="22"/>
        <v>0 YEAR 11 MONTH 24 DAY</v>
      </c>
      <c r="M91" t="str">
        <f t="shared" ca="1" si="23"/>
        <v xml:space="preserve">3 YEAR 0 MONTH 24 DAY </v>
      </c>
    </row>
    <row r="92" spans="1:13">
      <c r="A92" s="13">
        <f t="shared" ca="1" si="12"/>
        <v>44775</v>
      </c>
      <c r="B92">
        <f t="shared" ca="1" si="13"/>
        <v>8</v>
      </c>
      <c r="C92">
        <f t="shared" ca="1" si="14"/>
        <v>2022</v>
      </c>
      <c r="D92">
        <f t="shared" ca="1" si="15"/>
        <v>2</v>
      </c>
      <c r="E92" t="str">
        <f t="shared" ca="1" si="16"/>
        <v>Tuesday</v>
      </c>
      <c r="F92" s="12">
        <v>45806</v>
      </c>
      <c r="G92">
        <f t="shared" si="17"/>
        <v>29</v>
      </c>
      <c r="H92">
        <f t="shared" si="18"/>
        <v>5</v>
      </c>
      <c r="I92">
        <f t="shared" si="19"/>
        <v>2025</v>
      </c>
      <c r="J92" t="str">
        <f t="shared" si="20"/>
        <v>Thursday</v>
      </c>
      <c r="K92" t="str">
        <f t="shared" si="21"/>
        <v>May</v>
      </c>
      <c r="L92" t="str">
        <f t="shared" ca="1" si="22"/>
        <v>0 YEAR 11 MONTH 23 DAY</v>
      </c>
      <c r="M92" t="str">
        <f t="shared" ca="1" si="23"/>
        <v xml:space="preserve">3 YEAR 9 MONTH 20 DAY </v>
      </c>
    </row>
    <row r="93" spans="1:13">
      <c r="A93" s="13">
        <f t="shared" ca="1" si="12"/>
        <v>44726</v>
      </c>
      <c r="B93">
        <f t="shared" ca="1" si="13"/>
        <v>6</v>
      </c>
      <c r="C93">
        <f t="shared" ca="1" si="14"/>
        <v>2022</v>
      </c>
      <c r="D93">
        <f t="shared" ca="1" si="15"/>
        <v>14</v>
      </c>
      <c r="E93" t="str">
        <f t="shared" ca="1" si="16"/>
        <v>Tuesday</v>
      </c>
      <c r="F93" s="12">
        <v>45807</v>
      </c>
      <c r="G93">
        <f t="shared" si="17"/>
        <v>30</v>
      </c>
      <c r="H93">
        <f t="shared" si="18"/>
        <v>5</v>
      </c>
      <c r="I93">
        <f t="shared" si="19"/>
        <v>2025</v>
      </c>
      <c r="J93" t="str">
        <f t="shared" si="20"/>
        <v>Friday</v>
      </c>
      <c r="K93" t="str">
        <f t="shared" si="21"/>
        <v>May</v>
      </c>
      <c r="L93" t="str">
        <f t="shared" ca="1" si="22"/>
        <v>0 YEAR 11 MONTH 22 DAY</v>
      </c>
      <c r="M93" t="str">
        <f t="shared" ca="1" si="23"/>
        <v xml:space="preserve">3 YEAR 11 MONTH 8 DAY </v>
      </c>
    </row>
    <row r="94" spans="1:13">
      <c r="A94" s="13">
        <f t="shared" ca="1" si="12"/>
        <v>39601</v>
      </c>
      <c r="B94">
        <f t="shared" ca="1" si="13"/>
        <v>6</v>
      </c>
      <c r="C94">
        <f t="shared" ca="1" si="14"/>
        <v>2008</v>
      </c>
      <c r="D94">
        <f t="shared" ca="1" si="15"/>
        <v>2</v>
      </c>
      <c r="E94" t="str">
        <f t="shared" ca="1" si="16"/>
        <v>Monday</v>
      </c>
      <c r="F94" s="12">
        <v>45808</v>
      </c>
      <c r="G94">
        <f t="shared" si="17"/>
        <v>31</v>
      </c>
      <c r="H94">
        <f t="shared" si="18"/>
        <v>5</v>
      </c>
      <c r="I94">
        <f t="shared" si="19"/>
        <v>2025</v>
      </c>
      <c r="J94" t="str">
        <f t="shared" si="20"/>
        <v>Saturday</v>
      </c>
      <c r="K94" t="str">
        <f t="shared" si="21"/>
        <v>May</v>
      </c>
      <c r="L94" t="str">
        <f t="shared" ca="1" si="22"/>
        <v>0 YEAR 11 MONTH 21 DAY</v>
      </c>
      <c r="M94" t="str">
        <f t="shared" ca="1" si="23"/>
        <v xml:space="preserve">17 YEAR 11 MONTH 20 DAY </v>
      </c>
    </row>
    <row r="95" spans="1:13">
      <c r="A95" s="13">
        <f t="shared" ca="1" si="12"/>
        <v>41581</v>
      </c>
      <c r="B95">
        <f t="shared" ca="1" si="13"/>
        <v>11</v>
      </c>
      <c r="C95">
        <f t="shared" ca="1" si="14"/>
        <v>2013</v>
      </c>
      <c r="D95">
        <f t="shared" ca="1" si="15"/>
        <v>3</v>
      </c>
      <c r="E95" t="str">
        <f t="shared" ca="1" si="16"/>
        <v>Sunday</v>
      </c>
      <c r="F95" s="12">
        <v>45809</v>
      </c>
      <c r="G95">
        <f t="shared" si="17"/>
        <v>1</v>
      </c>
      <c r="H95">
        <f t="shared" si="18"/>
        <v>6</v>
      </c>
      <c r="I95">
        <f t="shared" si="19"/>
        <v>2025</v>
      </c>
      <c r="J95" t="str">
        <f t="shared" si="20"/>
        <v>Sunday</v>
      </c>
      <c r="K95" t="str">
        <f t="shared" si="21"/>
        <v>June</v>
      </c>
      <c r="L95" t="str">
        <f t="shared" ca="1" si="22"/>
        <v>0 YEAR 11 MONTH 21 DAY</v>
      </c>
      <c r="M95" t="str">
        <f t="shared" ca="1" si="23"/>
        <v xml:space="preserve">12 YEAR 6 MONTH 19 DAY </v>
      </c>
    </row>
    <row r="96" spans="1:13">
      <c r="A96" s="13">
        <f t="shared" ca="1" si="12"/>
        <v>40703</v>
      </c>
      <c r="B96">
        <f t="shared" ca="1" si="13"/>
        <v>6</v>
      </c>
      <c r="C96">
        <f t="shared" ca="1" si="14"/>
        <v>2011</v>
      </c>
      <c r="D96">
        <f t="shared" ca="1" si="15"/>
        <v>9</v>
      </c>
      <c r="E96" t="str">
        <f t="shared" ca="1" si="16"/>
        <v>Thursday</v>
      </c>
      <c r="F96" s="12">
        <v>45810</v>
      </c>
      <c r="G96">
        <f t="shared" si="17"/>
        <v>2</v>
      </c>
      <c r="H96">
        <f t="shared" si="18"/>
        <v>6</v>
      </c>
      <c r="I96">
        <f t="shared" si="19"/>
        <v>2025</v>
      </c>
      <c r="J96" t="str">
        <f t="shared" si="20"/>
        <v>Monday</v>
      </c>
      <c r="K96" t="str">
        <f t="shared" si="21"/>
        <v>June</v>
      </c>
      <c r="L96" t="str">
        <f t="shared" ca="1" si="22"/>
        <v>0 YEAR 11 MONTH 20 DAY</v>
      </c>
      <c r="M96" t="str">
        <f t="shared" ca="1" si="23"/>
        <v xml:space="preserve">14 YEAR 11 MONTH 13 DAY </v>
      </c>
    </row>
    <row r="97" spans="1:13">
      <c r="A97" s="13">
        <f t="shared" ca="1" si="12"/>
        <v>42029</v>
      </c>
      <c r="B97">
        <f t="shared" ca="1" si="13"/>
        <v>1</v>
      </c>
      <c r="C97">
        <f t="shared" ca="1" si="14"/>
        <v>2015</v>
      </c>
      <c r="D97">
        <f t="shared" ca="1" si="15"/>
        <v>25</v>
      </c>
      <c r="E97" t="str">
        <f t="shared" ca="1" si="16"/>
        <v>Sunday</v>
      </c>
      <c r="F97" s="12">
        <v>45811</v>
      </c>
      <c r="G97">
        <f t="shared" si="17"/>
        <v>3</v>
      </c>
      <c r="H97">
        <f t="shared" si="18"/>
        <v>6</v>
      </c>
      <c r="I97">
        <f t="shared" si="19"/>
        <v>2025</v>
      </c>
      <c r="J97" t="str">
        <f t="shared" si="20"/>
        <v>Tuesday</v>
      </c>
      <c r="K97" t="str">
        <f t="shared" si="21"/>
        <v>June</v>
      </c>
      <c r="L97" t="str">
        <f t="shared" ca="1" si="22"/>
        <v>0 YEAR 11 MONTH 19 DAY</v>
      </c>
      <c r="M97" t="str">
        <f t="shared" ca="1" si="23"/>
        <v xml:space="preserve">11 YEAR 3 MONTH 27 DAY </v>
      </c>
    </row>
    <row r="98" spans="1:13">
      <c r="A98" s="13">
        <f t="shared" ca="1" si="12"/>
        <v>44434</v>
      </c>
      <c r="B98">
        <f t="shared" ca="1" si="13"/>
        <v>8</v>
      </c>
      <c r="C98">
        <f t="shared" ca="1" si="14"/>
        <v>2021</v>
      </c>
      <c r="D98">
        <f t="shared" ca="1" si="15"/>
        <v>26</v>
      </c>
      <c r="E98" t="str">
        <f t="shared" ca="1" si="16"/>
        <v>Thursday</v>
      </c>
      <c r="F98" s="12">
        <v>45812</v>
      </c>
      <c r="G98">
        <f t="shared" si="17"/>
        <v>4</v>
      </c>
      <c r="H98">
        <f t="shared" si="18"/>
        <v>6</v>
      </c>
      <c r="I98">
        <f t="shared" si="19"/>
        <v>2025</v>
      </c>
      <c r="J98" t="str">
        <f t="shared" si="20"/>
        <v>Wednesday</v>
      </c>
      <c r="K98" t="str">
        <f t="shared" si="21"/>
        <v>June</v>
      </c>
      <c r="L98" t="str">
        <f t="shared" ca="1" si="22"/>
        <v>0 YEAR 11 MONTH 18 DAY</v>
      </c>
      <c r="M98" t="str">
        <f t="shared" ca="1" si="23"/>
        <v xml:space="preserve">4 YEAR 8 MONTH 26 DAY </v>
      </c>
    </row>
    <row r="99" spans="1:13">
      <c r="A99" s="13">
        <f t="shared" ca="1" si="12"/>
        <v>44419</v>
      </c>
      <c r="B99">
        <f t="shared" ca="1" si="13"/>
        <v>8</v>
      </c>
      <c r="C99">
        <f t="shared" ca="1" si="14"/>
        <v>2021</v>
      </c>
      <c r="D99">
        <f t="shared" ca="1" si="15"/>
        <v>11</v>
      </c>
      <c r="E99" t="str">
        <f t="shared" ca="1" si="16"/>
        <v>Wednesday</v>
      </c>
      <c r="F99" s="12">
        <v>45813</v>
      </c>
      <c r="G99">
        <f t="shared" si="17"/>
        <v>5</v>
      </c>
      <c r="H99">
        <f t="shared" si="18"/>
        <v>6</v>
      </c>
      <c r="I99">
        <f t="shared" si="19"/>
        <v>2025</v>
      </c>
      <c r="J99" t="str">
        <f t="shared" si="20"/>
        <v>Thursday</v>
      </c>
      <c r="K99" t="str">
        <f t="shared" si="21"/>
        <v>June</v>
      </c>
      <c r="L99" t="str">
        <f t="shared" ca="1" si="22"/>
        <v>0 YEAR 11 MONTH 17 DAY</v>
      </c>
      <c r="M99" t="str">
        <f t="shared" ca="1" si="23"/>
        <v xml:space="preserve">4 YEAR 9 MONTH 11 DAY </v>
      </c>
    </row>
    <row r="100" spans="1:13">
      <c r="A100" s="13">
        <f t="shared" ca="1" si="12"/>
        <v>44729</v>
      </c>
      <c r="B100">
        <f t="shared" ca="1" si="13"/>
        <v>6</v>
      </c>
      <c r="C100">
        <f t="shared" ca="1" si="14"/>
        <v>2022</v>
      </c>
      <c r="D100">
        <f t="shared" ca="1" si="15"/>
        <v>17</v>
      </c>
      <c r="E100" t="str">
        <f t="shared" ca="1" si="16"/>
        <v>Friday</v>
      </c>
      <c r="F100" s="12">
        <v>45814</v>
      </c>
      <c r="G100">
        <f t="shared" si="17"/>
        <v>6</v>
      </c>
      <c r="H100">
        <f t="shared" si="18"/>
        <v>6</v>
      </c>
      <c r="I100">
        <f t="shared" si="19"/>
        <v>2025</v>
      </c>
      <c r="J100" t="str">
        <f t="shared" si="20"/>
        <v>Friday</v>
      </c>
      <c r="K100" t="str">
        <f t="shared" si="21"/>
        <v>June</v>
      </c>
      <c r="L100" t="str">
        <f t="shared" ca="1" si="22"/>
        <v>0 YEAR 11 MONTH 16 DAY</v>
      </c>
      <c r="M100" t="str">
        <f t="shared" ca="1" si="23"/>
        <v xml:space="preserve">3 YEAR 11 MONTH 5 DAY </v>
      </c>
    </row>
    <row r="101" spans="1:13">
      <c r="A101" s="13">
        <f t="shared" ca="1" si="12"/>
        <v>41785</v>
      </c>
      <c r="B101">
        <f t="shared" ca="1" si="13"/>
        <v>5</v>
      </c>
      <c r="C101">
        <f t="shared" ca="1" si="14"/>
        <v>2014</v>
      </c>
      <c r="D101">
        <f t="shared" ca="1" si="15"/>
        <v>26</v>
      </c>
      <c r="E101" t="str">
        <f t="shared" ca="1" si="16"/>
        <v>Monday</v>
      </c>
      <c r="F101" s="12">
        <v>45815</v>
      </c>
      <c r="G101">
        <f t="shared" si="17"/>
        <v>7</v>
      </c>
      <c r="H101">
        <f t="shared" si="18"/>
        <v>6</v>
      </c>
      <c r="I101">
        <f t="shared" si="19"/>
        <v>2025</v>
      </c>
      <c r="J101" t="str">
        <f t="shared" si="20"/>
        <v>Saturday</v>
      </c>
      <c r="K101" t="str">
        <f t="shared" si="21"/>
        <v>June</v>
      </c>
      <c r="L101" t="str">
        <f t="shared" ca="1" si="22"/>
        <v>0 YEAR 11 MONTH 15 DAY</v>
      </c>
      <c r="M101" t="str">
        <f t="shared" ca="1" si="23"/>
        <v xml:space="preserve">11 YEAR 11 MONTH 26 DAY </v>
      </c>
    </row>
    <row r="102" spans="1:13">
      <c r="A102" s="13">
        <f t="shared" ca="1" si="12"/>
        <v>45411</v>
      </c>
      <c r="B102">
        <f t="shared" ca="1" si="13"/>
        <v>4</v>
      </c>
      <c r="C102">
        <f t="shared" ca="1" si="14"/>
        <v>2024</v>
      </c>
      <c r="D102">
        <f t="shared" ca="1" si="15"/>
        <v>29</v>
      </c>
      <c r="E102" t="str">
        <f t="shared" ca="1" si="16"/>
        <v>Monday</v>
      </c>
      <c r="F102" s="12">
        <v>45816</v>
      </c>
      <c r="G102">
        <f t="shared" si="17"/>
        <v>8</v>
      </c>
      <c r="H102">
        <f t="shared" si="18"/>
        <v>6</v>
      </c>
      <c r="I102">
        <f t="shared" si="19"/>
        <v>2025</v>
      </c>
      <c r="J102" t="str">
        <f t="shared" si="20"/>
        <v>Sunday</v>
      </c>
      <c r="K102" t="str">
        <f t="shared" si="21"/>
        <v>June</v>
      </c>
      <c r="L102" t="str">
        <f t="shared" ca="1" si="22"/>
        <v>0 YEAR 11 MONTH 14 DAY</v>
      </c>
      <c r="M102" t="str">
        <f t="shared" ca="1" si="23"/>
        <v xml:space="preserve">2 YEAR 0 MONTH 23 DAY </v>
      </c>
    </row>
    <row r="103" spans="1:13">
      <c r="A103" s="13">
        <f t="shared" ca="1" si="12"/>
        <v>44963</v>
      </c>
      <c r="B103">
        <f t="shared" ca="1" si="13"/>
        <v>2</v>
      </c>
      <c r="C103">
        <f t="shared" ca="1" si="14"/>
        <v>2023</v>
      </c>
      <c r="D103">
        <f t="shared" ca="1" si="15"/>
        <v>6</v>
      </c>
      <c r="E103" t="str">
        <f t="shared" ca="1" si="16"/>
        <v>Monday</v>
      </c>
      <c r="F103" s="12">
        <v>45817</v>
      </c>
      <c r="G103">
        <f t="shared" si="17"/>
        <v>9</v>
      </c>
      <c r="H103">
        <f t="shared" si="18"/>
        <v>6</v>
      </c>
      <c r="I103">
        <f t="shared" si="19"/>
        <v>2025</v>
      </c>
      <c r="J103" t="str">
        <f t="shared" si="20"/>
        <v>Monday</v>
      </c>
      <c r="K103" t="str">
        <f t="shared" si="21"/>
        <v>June</v>
      </c>
      <c r="L103" t="str">
        <f t="shared" ca="1" si="22"/>
        <v>0 YEAR 11 MONTH 13 DAY</v>
      </c>
      <c r="M103" t="str">
        <f t="shared" ca="1" si="23"/>
        <v xml:space="preserve">3 YEAR 3 MONTH 16 DAY </v>
      </c>
    </row>
    <row r="104" spans="1:13">
      <c r="A104" s="13">
        <f t="shared" ca="1" si="12"/>
        <v>42566</v>
      </c>
      <c r="B104">
        <f t="shared" ca="1" si="13"/>
        <v>7</v>
      </c>
      <c r="C104">
        <f t="shared" ca="1" si="14"/>
        <v>2016</v>
      </c>
      <c r="D104">
        <f t="shared" ca="1" si="15"/>
        <v>15</v>
      </c>
      <c r="E104" t="str">
        <f t="shared" ca="1" si="16"/>
        <v>Friday</v>
      </c>
      <c r="F104" s="12">
        <v>45818</v>
      </c>
      <c r="G104">
        <f t="shared" si="17"/>
        <v>10</v>
      </c>
      <c r="H104">
        <f t="shared" si="18"/>
        <v>6</v>
      </c>
      <c r="I104">
        <f t="shared" si="19"/>
        <v>2025</v>
      </c>
      <c r="J104" t="str">
        <f t="shared" si="20"/>
        <v>Tuesday</v>
      </c>
      <c r="K104" t="str">
        <f t="shared" si="21"/>
        <v>June</v>
      </c>
      <c r="L104" t="str">
        <f t="shared" ca="1" si="22"/>
        <v>0 YEAR 11 MONTH 12 DAY</v>
      </c>
      <c r="M104" t="str">
        <f t="shared" ca="1" si="23"/>
        <v xml:space="preserve">9 YEAR 10 MONTH 7 DAY </v>
      </c>
    </row>
    <row r="105" spans="1:13">
      <c r="A105" s="13">
        <f t="shared" ca="1" si="12"/>
        <v>37981</v>
      </c>
      <c r="B105">
        <f t="shared" ca="1" si="13"/>
        <v>12</v>
      </c>
      <c r="C105">
        <f t="shared" ca="1" si="14"/>
        <v>2003</v>
      </c>
      <c r="D105">
        <f t="shared" ca="1" si="15"/>
        <v>26</v>
      </c>
      <c r="E105" t="str">
        <f t="shared" ca="1" si="16"/>
        <v>Friday</v>
      </c>
      <c r="F105" s="12">
        <v>45819</v>
      </c>
      <c r="G105">
        <f t="shared" si="17"/>
        <v>11</v>
      </c>
      <c r="H105">
        <f t="shared" si="18"/>
        <v>6</v>
      </c>
      <c r="I105">
        <f t="shared" si="19"/>
        <v>2025</v>
      </c>
      <c r="J105" t="str">
        <f t="shared" si="20"/>
        <v>Wednesday</v>
      </c>
      <c r="K105" t="str">
        <f t="shared" si="21"/>
        <v>June</v>
      </c>
      <c r="L105" t="str">
        <f t="shared" ca="1" si="22"/>
        <v>0 YEAR 11 MONTH 11 DAY</v>
      </c>
      <c r="M105" t="str">
        <f t="shared" ca="1" si="23"/>
        <v xml:space="preserve">22 YEAR 4 MONTH 26 DAY </v>
      </c>
    </row>
    <row r="106" spans="1:13">
      <c r="A106" s="13">
        <f t="shared" ca="1" si="12"/>
        <v>41529</v>
      </c>
      <c r="B106">
        <f t="shared" ca="1" si="13"/>
        <v>9</v>
      </c>
      <c r="C106">
        <f t="shared" ca="1" si="14"/>
        <v>2013</v>
      </c>
      <c r="D106">
        <f t="shared" ca="1" si="15"/>
        <v>12</v>
      </c>
      <c r="E106" t="str">
        <f t="shared" ca="1" si="16"/>
        <v>Thursday</v>
      </c>
      <c r="F106" s="12">
        <v>45820</v>
      </c>
      <c r="G106">
        <f t="shared" si="17"/>
        <v>12</v>
      </c>
      <c r="H106">
        <f t="shared" si="18"/>
        <v>6</v>
      </c>
      <c r="I106">
        <f t="shared" si="19"/>
        <v>2025</v>
      </c>
      <c r="J106" t="str">
        <f t="shared" si="20"/>
        <v>Thursday</v>
      </c>
      <c r="K106" t="str">
        <f t="shared" si="21"/>
        <v>June</v>
      </c>
      <c r="L106" t="str">
        <f t="shared" ca="1" si="22"/>
        <v>0 YEAR 11 MONTH 10 DAY</v>
      </c>
      <c r="M106" t="str">
        <f t="shared" ca="1" si="23"/>
        <v xml:space="preserve">12 YEAR 8 MONTH 10 DAY </v>
      </c>
    </row>
    <row r="107" spans="1:13">
      <c r="A107" s="13">
        <f t="shared" ca="1" si="12"/>
        <v>43813</v>
      </c>
      <c r="B107">
        <f t="shared" ca="1" si="13"/>
        <v>12</v>
      </c>
      <c r="C107">
        <f t="shared" ca="1" si="14"/>
        <v>2019</v>
      </c>
      <c r="D107">
        <f t="shared" ca="1" si="15"/>
        <v>14</v>
      </c>
      <c r="E107" t="str">
        <f t="shared" ca="1" si="16"/>
        <v>Saturday</v>
      </c>
      <c r="F107" s="12">
        <v>45821</v>
      </c>
      <c r="G107">
        <f t="shared" si="17"/>
        <v>13</v>
      </c>
      <c r="H107">
        <f t="shared" si="18"/>
        <v>6</v>
      </c>
      <c r="I107">
        <f t="shared" si="19"/>
        <v>2025</v>
      </c>
      <c r="J107" t="str">
        <f t="shared" si="20"/>
        <v>Friday</v>
      </c>
      <c r="K107" t="str">
        <f t="shared" si="21"/>
        <v>June</v>
      </c>
      <c r="L107" t="str">
        <f t="shared" ca="1" si="22"/>
        <v>0 YEAR 11 MONTH 9 DAY</v>
      </c>
      <c r="M107" t="str">
        <f t="shared" ca="1" si="23"/>
        <v xml:space="preserve">6 YEAR 5 MONTH 8 DAY </v>
      </c>
    </row>
    <row r="108" spans="1:13">
      <c r="A108" s="13">
        <f t="shared" ca="1" si="12"/>
        <v>45921</v>
      </c>
      <c r="B108">
        <f t="shared" ca="1" si="13"/>
        <v>9</v>
      </c>
      <c r="C108">
        <f t="shared" ca="1" si="14"/>
        <v>2025</v>
      </c>
      <c r="D108">
        <f t="shared" ca="1" si="15"/>
        <v>21</v>
      </c>
      <c r="E108" t="str">
        <f t="shared" ca="1" si="16"/>
        <v>Sunday</v>
      </c>
      <c r="F108" s="12">
        <v>45822</v>
      </c>
      <c r="G108">
        <f t="shared" si="17"/>
        <v>14</v>
      </c>
      <c r="H108">
        <f t="shared" si="18"/>
        <v>6</v>
      </c>
      <c r="I108">
        <f t="shared" si="19"/>
        <v>2025</v>
      </c>
      <c r="J108" t="str">
        <f t="shared" si="20"/>
        <v>Saturday</v>
      </c>
      <c r="K108" t="str">
        <f t="shared" si="21"/>
        <v>June</v>
      </c>
      <c r="L108" t="str">
        <f t="shared" ca="1" si="22"/>
        <v>0 YEAR 11 MONTH 8 DAY</v>
      </c>
      <c r="M108" t="str">
        <f t="shared" ca="1" si="23"/>
        <v xml:space="preserve">0 YEAR 8 MONTH 1 DAY </v>
      </c>
    </row>
    <row r="109" spans="1:13">
      <c r="A109" s="13">
        <f t="shared" ca="1" si="12"/>
        <v>41615</v>
      </c>
      <c r="B109">
        <f t="shared" ca="1" si="13"/>
        <v>12</v>
      </c>
      <c r="C109">
        <f t="shared" ca="1" si="14"/>
        <v>2013</v>
      </c>
      <c r="D109">
        <f t="shared" ca="1" si="15"/>
        <v>7</v>
      </c>
      <c r="E109" t="str">
        <f t="shared" ca="1" si="16"/>
        <v>Saturday</v>
      </c>
      <c r="F109" s="12">
        <v>45823</v>
      </c>
      <c r="G109">
        <f t="shared" si="17"/>
        <v>15</v>
      </c>
      <c r="H109">
        <f t="shared" si="18"/>
        <v>6</v>
      </c>
      <c r="I109">
        <f t="shared" si="19"/>
        <v>2025</v>
      </c>
      <c r="J109" t="str">
        <f t="shared" si="20"/>
        <v>Sunday</v>
      </c>
      <c r="K109" t="str">
        <f t="shared" si="21"/>
        <v>June</v>
      </c>
      <c r="L109" t="str">
        <f t="shared" ca="1" si="22"/>
        <v>0 YEAR 11 MONTH 7 DAY</v>
      </c>
      <c r="M109" t="str">
        <f t="shared" ca="1" si="23"/>
        <v xml:space="preserve">12 YEAR 5 MONTH 15 DAY </v>
      </c>
    </row>
    <row r="110" spans="1:13">
      <c r="A110" s="13">
        <f t="shared" ca="1" si="12"/>
        <v>42004</v>
      </c>
      <c r="B110">
        <f t="shared" ca="1" si="13"/>
        <v>12</v>
      </c>
      <c r="C110">
        <f t="shared" ca="1" si="14"/>
        <v>2014</v>
      </c>
      <c r="D110">
        <f t="shared" ca="1" si="15"/>
        <v>31</v>
      </c>
      <c r="E110" t="str">
        <f t="shared" ca="1" si="16"/>
        <v>Wednesday</v>
      </c>
      <c r="F110" s="12">
        <v>45824</v>
      </c>
      <c r="G110">
        <f t="shared" si="17"/>
        <v>16</v>
      </c>
      <c r="H110">
        <f t="shared" si="18"/>
        <v>6</v>
      </c>
      <c r="I110">
        <f t="shared" si="19"/>
        <v>2025</v>
      </c>
      <c r="J110" t="str">
        <f t="shared" si="20"/>
        <v>Monday</v>
      </c>
      <c r="K110" t="str">
        <f t="shared" si="21"/>
        <v>June</v>
      </c>
      <c r="L110" t="str">
        <f t="shared" ca="1" si="22"/>
        <v>0 YEAR 11 MONTH 6 DAY</v>
      </c>
      <c r="M110" t="str">
        <f t="shared" ca="1" si="23"/>
        <v xml:space="preserve">11 YEAR 4 MONTH 21 DAY </v>
      </c>
    </row>
    <row r="111" spans="1:13">
      <c r="A111" s="13">
        <f t="shared" ca="1" si="12"/>
        <v>45252</v>
      </c>
      <c r="B111">
        <f t="shared" ca="1" si="13"/>
        <v>11</v>
      </c>
      <c r="C111">
        <f t="shared" ca="1" si="14"/>
        <v>2023</v>
      </c>
      <c r="D111">
        <f t="shared" ca="1" si="15"/>
        <v>22</v>
      </c>
      <c r="E111" t="str">
        <f t="shared" ca="1" si="16"/>
        <v>Wednesday</v>
      </c>
      <c r="F111" s="12">
        <v>45825</v>
      </c>
      <c r="G111">
        <f t="shared" si="17"/>
        <v>17</v>
      </c>
      <c r="H111">
        <f t="shared" si="18"/>
        <v>6</v>
      </c>
      <c r="I111">
        <f t="shared" si="19"/>
        <v>2025</v>
      </c>
      <c r="J111" t="str">
        <f t="shared" si="20"/>
        <v>Tuesday</v>
      </c>
      <c r="K111" t="str">
        <f t="shared" si="21"/>
        <v>June</v>
      </c>
      <c r="L111" t="str">
        <f t="shared" ca="1" si="22"/>
        <v>0 YEAR 11 MONTH 5 DAY</v>
      </c>
      <c r="M111" t="str">
        <f t="shared" ca="1" si="23"/>
        <v xml:space="preserve">2 YEAR 6 MONTH 0 DAY </v>
      </c>
    </row>
    <row r="112" spans="1:13">
      <c r="A112" s="13">
        <f t="shared" ca="1" si="12"/>
        <v>41300</v>
      </c>
      <c r="B112">
        <f t="shared" ca="1" si="13"/>
        <v>1</v>
      </c>
      <c r="C112">
        <f t="shared" ca="1" si="14"/>
        <v>2013</v>
      </c>
      <c r="D112">
        <f t="shared" ca="1" si="15"/>
        <v>26</v>
      </c>
      <c r="E112" t="str">
        <f t="shared" ca="1" si="16"/>
        <v>Saturday</v>
      </c>
      <c r="F112" s="12">
        <v>45826</v>
      </c>
      <c r="G112">
        <f t="shared" si="17"/>
        <v>18</v>
      </c>
      <c r="H112">
        <f t="shared" si="18"/>
        <v>6</v>
      </c>
      <c r="I112">
        <f t="shared" si="19"/>
        <v>2025</v>
      </c>
      <c r="J112" t="str">
        <f t="shared" si="20"/>
        <v>Wednesday</v>
      </c>
      <c r="K112" t="str">
        <f t="shared" si="21"/>
        <v>June</v>
      </c>
      <c r="L112" t="str">
        <f t="shared" ca="1" si="22"/>
        <v>0 YEAR 11 MONTH 4 DAY</v>
      </c>
      <c r="M112" t="str">
        <f t="shared" ca="1" si="23"/>
        <v xml:space="preserve">13 YEAR 3 MONTH 26 DAY </v>
      </c>
    </row>
    <row r="113" spans="1:13">
      <c r="A113" s="13">
        <f t="shared" ca="1" si="12"/>
        <v>43547</v>
      </c>
      <c r="B113">
        <f t="shared" ca="1" si="13"/>
        <v>3</v>
      </c>
      <c r="C113">
        <f t="shared" ca="1" si="14"/>
        <v>2019</v>
      </c>
      <c r="D113">
        <f t="shared" ca="1" si="15"/>
        <v>23</v>
      </c>
      <c r="E113" t="str">
        <f t="shared" ca="1" si="16"/>
        <v>Saturday</v>
      </c>
      <c r="F113" s="12">
        <v>45827</v>
      </c>
      <c r="G113">
        <f t="shared" si="17"/>
        <v>19</v>
      </c>
      <c r="H113">
        <f t="shared" si="18"/>
        <v>6</v>
      </c>
      <c r="I113">
        <f t="shared" si="19"/>
        <v>2025</v>
      </c>
      <c r="J113" t="str">
        <f t="shared" si="20"/>
        <v>Thursday</v>
      </c>
      <c r="K113" t="str">
        <f t="shared" si="21"/>
        <v>June</v>
      </c>
      <c r="L113" t="str">
        <f t="shared" ca="1" si="22"/>
        <v>0 YEAR 11 MONTH 3 DAY</v>
      </c>
      <c r="M113" t="str">
        <f t="shared" ca="1" si="23"/>
        <v xml:space="preserve">7 YEAR 1 MONTH 29 DAY </v>
      </c>
    </row>
    <row r="114" spans="1:13">
      <c r="A114" s="13">
        <f t="shared" ca="1" si="12"/>
        <v>46157</v>
      </c>
      <c r="B114">
        <f t="shared" ca="1" si="13"/>
        <v>5</v>
      </c>
      <c r="C114">
        <f t="shared" ca="1" si="14"/>
        <v>2026</v>
      </c>
      <c r="D114">
        <f t="shared" ca="1" si="15"/>
        <v>15</v>
      </c>
      <c r="E114" t="str">
        <f t="shared" ca="1" si="16"/>
        <v>Friday</v>
      </c>
      <c r="F114" s="12">
        <v>45828</v>
      </c>
      <c r="G114">
        <f t="shared" si="17"/>
        <v>20</v>
      </c>
      <c r="H114">
        <f t="shared" si="18"/>
        <v>6</v>
      </c>
      <c r="I114">
        <f t="shared" si="19"/>
        <v>2025</v>
      </c>
      <c r="J114" t="str">
        <f t="shared" si="20"/>
        <v>Friday</v>
      </c>
      <c r="K114" t="str">
        <f t="shared" si="21"/>
        <v>June</v>
      </c>
      <c r="L114" t="str">
        <f t="shared" ca="1" si="22"/>
        <v>0 YEAR 11 MONTH 2 DAY</v>
      </c>
      <c r="M114" t="str">
        <f t="shared" ca="1" si="23"/>
        <v xml:space="preserve">0 YEAR 0 MONTH 7 DAY </v>
      </c>
    </row>
    <row r="115" spans="1:13">
      <c r="A115" s="13">
        <f t="shared" ca="1" si="12"/>
        <v>43032</v>
      </c>
      <c r="B115">
        <f t="shared" ca="1" si="13"/>
        <v>10</v>
      </c>
      <c r="C115">
        <f t="shared" ca="1" si="14"/>
        <v>2017</v>
      </c>
      <c r="D115">
        <f t="shared" ca="1" si="15"/>
        <v>24</v>
      </c>
      <c r="E115" t="str">
        <f t="shared" ca="1" si="16"/>
        <v>Tuesday</v>
      </c>
      <c r="F115" s="12">
        <v>45829</v>
      </c>
      <c r="G115">
        <f t="shared" si="17"/>
        <v>21</v>
      </c>
      <c r="H115">
        <f t="shared" si="18"/>
        <v>6</v>
      </c>
      <c r="I115">
        <f t="shared" si="19"/>
        <v>2025</v>
      </c>
      <c r="J115" t="str">
        <f t="shared" si="20"/>
        <v>Saturday</v>
      </c>
      <c r="K115" t="str">
        <f t="shared" si="21"/>
        <v>June</v>
      </c>
      <c r="L115" t="str">
        <f t="shared" ca="1" si="22"/>
        <v>0 YEAR 11 MONTH 1 DAY</v>
      </c>
      <c r="M115" t="str">
        <f t="shared" ca="1" si="23"/>
        <v xml:space="preserve">8 YEAR 6 MONTH 28 DAY </v>
      </c>
    </row>
    <row r="116" spans="1:13">
      <c r="A116" s="13">
        <f t="shared" ca="1" si="12"/>
        <v>41986</v>
      </c>
      <c r="B116">
        <f t="shared" ca="1" si="13"/>
        <v>12</v>
      </c>
      <c r="C116">
        <f t="shared" ca="1" si="14"/>
        <v>2014</v>
      </c>
      <c r="D116">
        <f t="shared" ca="1" si="15"/>
        <v>13</v>
      </c>
      <c r="E116" t="str">
        <f t="shared" ca="1" si="16"/>
        <v>Saturday</v>
      </c>
      <c r="F116" s="12">
        <v>45830</v>
      </c>
      <c r="G116">
        <f t="shared" si="17"/>
        <v>22</v>
      </c>
      <c r="H116">
        <f t="shared" si="18"/>
        <v>6</v>
      </c>
      <c r="I116">
        <f t="shared" si="19"/>
        <v>2025</v>
      </c>
      <c r="J116" t="str">
        <f t="shared" si="20"/>
        <v>Sunday</v>
      </c>
      <c r="K116" t="str">
        <f t="shared" si="21"/>
        <v>June</v>
      </c>
      <c r="L116" t="str">
        <f t="shared" ca="1" si="22"/>
        <v>0 YEAR 11 MONTH 0 DAY</v>
      </c>
      <c r="M116" t="str">
        <f t="shared" ca="1" si="23"/>
        <v xml:space="preserve">11 YEAR 5 MONTH 9 DAY </v>
      </c>
    </row>
    <row r="117" spans="1:13">
      <c r="A117" s="13">
        <f t="shared" ca="1" si="12"/>
        <v>43865</v>
      </c>
      <c r="B117">
        <f t="shared" ca="1" si="13"/>
        <v>2</v>
      </c>
      <c r="C117">
        <f t="shared" ca="1" si="14"/>
        <v>2020</v>
      </c>
      <c r="D117">
        <f t="shared" ca="1" si="15"/>
        <v>4</v>
      </c>
      <c r="E117" t="str">
        <f t="shared" ca="1" si="16"/>
        <v>Tuesday</v>
      </c>
      <c r="F117" s="12">
        <v>45831</v>
      </c>
      <c r="G117">
        <f t="shared" si="17"/>
        <v>23</v>
      </c>
      <c r="H117">
        <f t="shared" si="18"/>
        <v>6</v>
      </c>
      <c r="I117">
        <f t="shared" si="19"/>
        <v>2025</v>
      </c>
      <c r="J117" t="str">
        <f t="shared" si="20"/>
        <v>Monday</v>
      </c>
      <c r="K117" t="str">
        <f t="shared" si="21"/>
        <v>June</v>
      </c>
      <c r="L117" t="str">
        <f t="shared" ca="1" si="22"/>
        <v>0 YEAR 10 MONTH 29 DAY</v>
      </c>
      <c r="M117" t="str">
        <f t="shared" ca="1" si="23"/>
        <v xml:space="preserve">6 YEAR 3 MONTH 18 DAY </v>
      </c>
    </row>
    <row r="118" spans="1:13">
      <c r="A118" s="13">
        <f t="shared" ca="1" si="12"/>
        <v>40941</v>
      </c>
      <c r="B118">
        <f t="shared" ca="1" si="13"/>
        <v>2</v>
      </c>
      <c r="C118">
        <f t="shared" ca="1" si="14"/>
        <v>2012</v>
      </c>
      <c r="D118">
        <f t="shared" ca="1" si="15"/>
        <v>2</v>
      </c>
      <c r="E118" t="str">
        <f t="shared" ca="1" si="16"/>
        <v>Thursday</v>
      </c>
      <c r="F118" s="12">
        <v>45832</v>
      </c>
      <c r="G118">
        <f t="shared" si="17"/>
        <v>24</v>
      </c>
      <c r="H118">
        <f t="shared" si="18"/>
        <v>6</v>
      </c>
      <c r="I118">
        <f t="shared" si="19"/>
        <v>2025</v>
      </c>
      <c r="J118" t="str">
        <f t="shared" si="20"/>
        <v>Tuesday</v>
      </c>
      <c r="K118" t="str">
        <f t="shared" si="21"/>
        <v>June</v>
      </c>
      <c r="L118" t="str">
        <f t="shared" ca="1" si="22"/>
        <v>0 YEAR 10 MONTH 28 DAY</v>
      </c>
      <c r="M118" t="str">
        <f t="shared" ca="1" si="23"/>
        <v xml:space="preserve">14 YEAR 3 MONTH 20 DAY </v>
      </c>
    </row>
    <row r="119" spans="1:13">
      <c r="A119" s="13">
        <f t="shared" ca="1" si="12"/>
        <v>40503</v>
      </c>
      <c r="B119">
        <f t="shared" ca="1" si="13"/>
        <v>11</v>
      </c>
      <c r="C119">
        <f t="shared" ca="1" si="14"/>
        <v>2010</v>
      </c>
      <c r="D119">
        <f t="shared" ca="1" si="15"/>
        <v>21</v>
      </c>
      <c r="E119" t="str">
        <f t="shared" ca="1" si="16"/>
        <v>Sunday</v>
      </c>
      <c r="F119" s="12">
        <v>45833</v>
      </c>
      <c r="G119">
        <f t="shared" si="17"/>
        <v>25</v>
      </c>
      <c r="H119">
        <f t="shared" si="18"/>
        <v>6</v>
      </c>
      <c r="I119">
        <f t="shared" si="19"/>
        <v>2025</v>
      </c>
      <c r="J119" t="str">
        <f t="shared" si="20"/>
        <v>Wednesday</v>
      </c>
      <c r="K119" t="str">
        <f t="shared" si="21"/>
        <v>June</v>
      </c>
      <c r="L119" t="str">
        <f t="shared" ca="1" si="22"/>
        <v>0 YEAR 10 MONTH 27 DAY</v>
      </c>
      <c r="M119" t="str">
        <f t="shared" ca="1" si="23"/>
        <v xml:space="preserve">15 YEAR 6 MONTH 1 DAY </v>
      </c>
    </row>
    <row r="120" spans="1:13">
      <c r="A120" s="13">
        <f t="shared" ca="1" si="12"/>
        <v>39676</v>
      </c>
      <c r="B120">
        <f t="shared" ca="1" si="13"/>
        <v>8</v>
      </c>
      <c r="C120">
        <f t="shared" ca="1" si="14"/>
        <v>2008</v>
      </c>
      <c r="D120">
        <f t="shared" ca="1" si="15"/>
        <v>16</v>
      </c>
      <c r="E120" t="str">
        <f t="shared" ca="1" si="16"/>
        <v>Saturday</v>
      </c>
      <c r="F120" s="12">
        <v>45834</v>
      </c>
      <c r="G120">
        <f t="shared" si="17"/>
        <v>26</v>
      </c>
      <c r="H120">
        <f t="shared" si="18"/>
        <v>6</v>
      </c>
      <c r="I120">
        <f t="shared" si="19"/>
        <v>2025</v>
      </c>
      <c r="J120" t="str">
        <f t="shared" si="20"/>
        <v>Thursday</v>
      </c>
      <c r="K120" t="str">
        <f t="shared" si="21"/>
        <v>June</v>
      </c>
      <c r="L120" t="str">
        <f t="shared" ca="1" si="22"/>
        <v>0 YEAR 10 MONTH 26 DAY</v>
      </c>
      <c r="M120" t="str">
        <f t="shared" ca="1" si="23"/>
        <v xml:space="preserve">17 YEAR 9 MONTH 6 DAY </v>
      </c>
    </row>
    <row r="121" spans="1:13">
      <c r="A121" s="13">
        <f t="shared" ca="1" si="12"/>
        <v>40040</v>
      </c>
      <c r="B121">
        <f t="shared" ca="1" si="13"/>
        <v>8</v>
      </c>
      <c r="C121">
        <f t="shared" ca="1" si="14"/>
        <v>2009</v>
      </c>
      <c r="D121">
        <f t="shared" ca="1" si="15"/>
        <v>15</v>
      </c>
      <c r="E121" t="str">
        <f t="shared" ca="1" si="16"/>
        <v>Saturday</v>
      </c>
      <c r="F121" s="12">
        <v>45835</v>
      </c>
      <c r="G121">
        <f t="shared" si="17"/>
        <v>27</v>
      </c>
      <c r="H121">
        <f t="shared" si="18"/>
        <v>6</v>
      </c>
      <c r="I121">
        <f t="shared" si="19"/>
        <v>2025</v>
      </c>
      <c r="J121" t="str">
        <f t="shared" si="20"/>
        <v>Friday</v>
      </c>
      <c r="K121" t="str">
        <f t="shared" si="21"/>
        <v>June</v>
      </c>
      <c r="L121" t="str">
        <f t="shared" ca="1" si="22"/>
        <v>0 YEAR 10 MONTH 25 DAY</v>
      </c>
      <c r="M121" t="str">
        <f t="shared" ca="1" si="23"/>
        <v xml:space="preserve">16 YEAR 9 MONTH 7 DAY </v>
      </c>
    </row>
    <row r="122" spans="1:13">
      <c r="A122" s="13">
        <f t="shared" ca="1" si="12"/>
        <v>40273</v>
      </c>
      <c r="B122">
        <f t="shared" ca="1" si="13"/>
        <v>4</v>
      </c>
      <c r="C122">
        <f t="shared" ca="1" si="14"/>
        <v>2010</v>
      </c>
      <c r="D122">
        <f t="shared" ca="1" si="15"/>
        <v>5</v>
      </c>
      <c r="E122" t="str">
        <f t="shared" ca="1" si="16"/>
        <v>Monday</v>
      </c>
      <c r="F122" s="12">
        <v>45836</v>
      </c>
      <c r="G122">
        <f t="shared" si="17"/>
        <v>28</v>
      </c>
      <c r="H122">
        <f t="shared" si="18"/>
        <v>6</v>
      </c>
      <c r="I122">
        <f t="shared" si="19"/>
        <v>2025</v>
      </c>
      <c r="J122" t="str">
        <f t="shared" si="20"/>
        <v>Saturday</v>
      </c>
      <c r="K122" t="str">
        <f t="shared" si="21"/>
        <v>June</v>
      </c>
      <c r="L122" t="str">
        <f t="shared" ca="1" si="22"/>
        <v>0 YEAR 10 MONTH 24 DAY</v>
      </c>
      <c r="M122" t="str">
        <f t="shared" ca="1" si="23"/>
        <v xml:space="preserve">16 YEAR 1 MONTH 17 DAY </v>
      </c>
    </row>
    <row r="123" spans="1:13">
      <c r="A123" s="13">
        <f t="shared" ca="1" si="12"/>
        <v>42023</v>
      </c>
      <c r="B123">
        <f t="shared" ca="1" si="13"/>
        <v>1</v>
      </c>
      <c r="C123">
        <f t="shared" ca="1" si="14"/>
        <v>2015</v>
      </c>
      <c r="D123">
        <f t="shared" ca="1" si="15"/>
        <v>19</v>
      </c>
      <c r="E123" t="str">
        <f t="shared" ca="1" si="16"/>
        <v>Monday</v>
      </c>
      <c r="F123" s="12">
        <v>45837</v>
      </c>
      <c r="G123">
        <f t="shared" si="17"/>
        <v>29</v>
      </c>
      <c r="H123">
        <f t="shared" si="18"/>
        <v>6</v>
      </c>
      <c r="I123">
        <f t="shared" si="19"/>
        <v>2025</v>
      </c>
      <c r="J123" t="str">
        <f t="shared" si="20"/>
        <v>Sunday</v>
      </c>
      <c r="K123" t="str">
        <f t="shared" si="21"/>
        <v>June</v>
      </c>
      <c r="L123" t="str">
        <f t="shared" ca="1" si="22"/>
        <v>0 YEAR 10 MONTH 23 DAY</v>
      </c>
      <c r="M123" t="str">
        <f t="shared" ca="1" si="23"/>
        <v xml:space="preserve">11 YEAR 4 MONTH 3 DAY </v>
      </c>
    </row>
    <row r="124" spans="1:13">
      <c r="A124" s="13">
        <f t="shared" ca="1" si="12"/>
        <v>41321</v>
      </c>
      <c r="B124">
        <f t="shared" ca="1" si="13"/>
        <v>2</v>
      </c>
      <c r="C124">
        <f t="shared" ca="1" si="14"/>
        <v>2013</v>
      </c>
      <c r="D124">
        <f t="shared" ca="1" si="15"/>
        <v>16</v>
      </c>
      <c r="E124" t="str">
        <f t="shared" ca="1" si="16"/>
        <v>Saturday</v>
      </c>
      <c r="F124" s="12">
        <v>45838</v>
      </c>
      <c r="G124">
        <f t="shared" si="17"/>
        <v>30</v>
      </c>
      <c r="H124">
        <f t="shared" si="18"/>
        <v>6</v>
      </c>
      <c r="I124">
        <f t="shared" si="19"/>
        <v>2025</v>
      </c>
      <c r="J124" t="str">
        <f t="shared" si="20"/>
        <v>Monday</v>
      </c>
      <c r="K124" t="str">
        <f t="shared" si="21"/>
        <v>June</v>
      </c>
      <c r="L124" t="str">
        <f t="shared" ca="1" si="22"/>
        <v>0 YEAR 10 MONTH 22 DAY</v>
      </c>
      <c r="M124" t="str">
        <f t="shared" ca="1" si="23"/>
        <v xml:space="preserve">13 YEAR 3 MONTH 6 DAY </v>
      </c>
    </row>
    <row r="125" spans="1:13">
      <c r="A125" s="13">
        <f t="shared" ca="1" si="12"/>
        <v>42854</v>
      </c>
      <c r="B125">
        <f t="shared" ca="1" si="13"/>
        <v>4</v>
      </c>
      <c r="C125">
        <f t="shared" ca="1" si="14"/>
        <v>2017</v>
      </c>
      <c r="D125">
        <f t="shared" ca="1" si="15"/>
        <v>29</v>
      </c>
      <c r="E125" t="str">
        <f t="shared" ca="1" si="16"/>
        <v>Saturday</v>
      </c>
      <c r="F125" s="12">
        <v>45839</v>
      </c>
      <c r="G125">
        <f t="shared" si="17"/>
        <v>1</v>
      </c>
      <c r="H125">
        <f t="shared" si="18"/>
        <v>7</v>
      </c>
      <c r="I125">
        <f t="shared" si="19"/>
        <v>2025</v>
      </c>
      <c r="J125" t="str">
        <f t="shared" si="20"/>
        <v>Tuesday</v>
      </c>
      <c r="K125" t="str">
        <f t="shared" si="21"/>
        <v>July</v>
      </c>
      <c r="L125" t="str">
        <f t="shared" ca="1" si="22"/>
        <v>0 YEAR 10 MONTH 21 DAY</v>
      </c>
      <c r="M125" t="str">
        <f t="shared" ca="1" si="23"/>
        <v xml:space="preserve">9 YEAR 0 MONTH 23 DAY </v>
      </c>
    </row>
    <row r="126" spans="1:13">
      <c r="A126" s="13">
        <f t="shared" ca="1" si="12"/>
        <v>42309</v>
      </c>
      <c r="B126">
        <f t="shared" ca="1" si="13"/>
        <v>11</v>
      </c>
      <c r="C126">
        <f t="shared" ca="1" si="14"/>
        <v>2015</v>
      </c>
      <c r="D126">
        <f t="shared" ca="1" si="15"/>
        <v>1</v>
      </c>
      <c r="E126" t="str">
        <f t="shared" ca="1" si="16"/>
        <v>Sunday</v>
      </c>
      <c r="F126" s="12">
        <v>45840</v>
      </c>
      <c r="G126">
        <f t="shared" si="17"/>
        <v>2</v>
      </c>
      <c r="H126">
        <f t="shared" si="18"/>
        <v>7</v>
      </c>
      <c r="I126">
        <f t="shared" si="19"/>
        <v>2025</v>
      </c>
      <c r="J126" t="str">
        <f t="shared" si="20"/>
        <v>Wednesday</v>
      </c>
      <c r="K126" t="str">
        <f t="shared" si="21"/>
        <v>July</v>
      </c>
      <c r="L126" t="str">
        <f t="shared" ca="1" si="22"/>
        <v>0 YEAR 10 MONTH 20 DAY</v>
      </c>
      <c r="M126" t="str">
        <f t="shared" ca="1" si="23"/>
        <v xml:space="preserve">10 YEAR 6 MONTH 21 DAY </v>
      </c>
    </row>
    <row r="127" spans="1:13">
      <c r="A127" s="13">
        <f t="shared" ca="1" si="12"/>
        <v>44553</v>
      </c>
      <c r="B127">
        <f t="shared" ca="1" si="13"/>
        <v>12</v>
      </c>
      <c r="C127">
        <f t="shared" ca="1" si="14"/>
        <v>2021</v>
      </c>
      <c r="D127">
        <f t="shared" ca="1" si="15"/>
        <v>23</v>
      </c>
      <c r="E127" t="str">
        <f t="shared" ca="1" si="16"/>
        <v>Thursday</v>
      </c>
      <c r="F127" s="12">
        <v>45841</v>
      </c>
      <c r="G127">
        <f t="shared" si="17"/>
        <v>3</v>
      </c>
      <c r="H127">
        <f t="shared" si="18"/>
        <v>7</v>
      </c>
      <c r="I127">
        <f t="shared" si="19"/>
        <v>2025</v>
      </c>
      <c r="J127" t="str">
        <f t="shared" si="20"/>
        <v>Thursday</v>
      </c>
      <c r="K127" t="str">
        <f t="shared" si="21"/>
        <v>July</v>
      </c>
      <c r="L127" t="str">
        <f t="shared" ca="1" si="22"/>
        <v>0 YEAR 10 MONTH 19 DAY</v>
      </c>
      <c r="M127" t="str">
        <f t="shared" ca="1" si="23"/>
        <v xml:space="preserve">4 YEAR 4 MONTH 29 DAY </v>
      </c>
    </row>
    <row r="128" spans="1:13">
      <c r="A128" s="13">
        <f t="shared" ca="1" si="12"/>
        <v>44105</v>
      </c>
      <c r="B128">
        <f t="shared" ca="1" si="13"/>
        <v>10</v>
      </c>
      <c r="C128">
        <f t="shared" ca="1" si="14"/>
        <v>2020</v>
      </c>
      <c r="D128">
        <f t="shared" ca="1" si="15"/>
        <v>1</v>
      </c>
      <c r="E128" t="str">
        <f t="shared" ca="1" si="16"/>
        <v>Thursday</v>
      </c>
      <c r="F128" s="12">
        <v>45842</v>
      </c>
      <c r="G128">
        <f t="shared" si="17"/>
        <v>4</v>
      </c>
      <c r="H128">
        <f t="shared" si="18"/>
        <v>7</v>
      </c>
      <c r="I128">
        <f t="shared" si="19"/>
        <v>2025</v>
      </c>
      <c r="J128" t="str">
        <f t="shared" si="20"/>
        <v>Friday</v>
      </c>
      <c r="K128" t="str">
        <f t="shared" si="21"/>
        <v>July</v>
      </c>
      <c r="L128" t="str">
        <f t="shared" ca="1" si="22"/>
        <v>0 YEAR 10 MONTH 18 DAY</v>
      </c>
      <c r="M128" t="str">
        <f t="shared" ca="1" si="23"/>
        <v xml:space="preserve">5 YEAR 7 MONTH 21 DAY </v>
      </c>
    </row>
    <row r="129" spans="1:13">
      <c r="A129" s="13">
        <f t="shared" ca="1" si="12"/>
        <v>37945</v>
      </c>
      <c r="B129">
        <f t="shared" ca="1" si="13"/>
        <v>11</v>
      </c>
      <c r="C129">
        <f t="shared" ca="1" si="14"/>
        <v>2003</v>
      </c>
      <c r="D129">
        <f t="shared" ca="1" si="15"/>
        <v>20</v>
      </c>
      <c r="E129" t="str">
        <f t="shared" ca="1" si="16"/>
        <v>Thursday</v>
      </c>
      <c r="F129" s="12">
        <v>45843</v>
      </c>
      <c r="G129">
        <f t="shared" si="17"/>
        <v>5</v>
      </c>
      <c r="H129">
        <f t="shared" si="18"/>
        <v>7</v>
      </c>
      <c r="I129">
        <f t="shared" si="19"/>
        <v>2025</v>
      </c>
      <c r="J129" t="str">
        <f t="shared" si="20"/>
        <v>Saturday</v>
      </c>
      <c r="K129" t="str">
        <f t="shared" si="21"/>
        <v>July</v>
      </c>
      <c r="L129" t="str">
        <f t="shared" ca="1" si="22"/>
        <v>0 YEAR 10 MONTH 17 DAY</v>
      </c>
      <c r="M129" t="str">
        <f t="shared" ca="1" si="23"/>
        <v xml:space="preserve">22 YEAR 6 MONTH 2 DAY </v>
      </c>
    </row>
    <row r="130" spans="1:13">
      <c r="A130" s="13">
        <f t="shared" ca="1" si="12"/>
        <v>45349</v>
      </c>
      <c r="B130">
        <f t="shared" ca="1" si="13"/>
        <v>2</v>
      </c>
      <c r="C130">
        <f t="shared" ca="1" si="14"/>
        <v>2024</v>
      </c>
      <c r="D130">
        <f t="shared" ca="1" si="15"/>
        <v>27</v>
      </c>
      <c r="E130" t="str">
        <f t="shared" ca="1" si="16"/>
        <v>Tuesday</v>
      </c>
      <c r="F130" s="12">
        <v>45844</v>
      </c>
      <c r="G130">
        <f t="shared" si="17"/>
        <v>6</v>
      </c>
      <c r="H130">
        <f t="shared" si="18"/>
        <v>7</v>
      </c>
      <c r="I130">
        <f t="shared" si="19"/>
        <v>2025</v>
      </c>
      <c r="J130" t="str">
        <f t="shared" si="20"/>
        <v>Sunday</v>
      </c>
      <c r="K130" t="str">
        <f t="shared" si="21"/>
        <v>July</v>
      </c>
      <c r="L130" t="str">
        <f t="shared" ca="1" si="22"/>
        <v>0 YEAR 10 MONTH 16 DAY</v>
      </c>
      <c r="M130" t="str">
        <f t="shared" ca="1" si="23"/>
        <v xml:space="preserve">2 YEAR 2 MONTH 25 DAY </v>
      </c>
    </row>
    <row r="131" spans="1:13">
      <c r="A131" s="13">
        <f t="shared" ref="A131:A194" ca="1" si="24">RANDBETWEEN(DATE(2003,7,23),TODAY())</f>
        <v>38931</v>
      </c>
      <c r="B131">
        <f t="shared" ref="B131:B194" ca="1" si="25">MONTH(A131)</f>
        <v>8</v>
      </c>
      <c r="C131">
        <f t="shared" ref="C131:C194" ca="1" si="26">YEAR(A131)</f>
        <v>2006</v>
      </c>
      <c r="D131">
        <f t="shared" ref="D131:D194" ca="1" si="27">DAY(A131)</f>
        <v>2</v>
      </c>
      <c r="E131" t="str">
        <f t="shared" ref="E131:E194" ca="1" si="28">TEXT(A131,"dddd")</f>
        <v>Wednesday</v>
      </c>
      <c r="F131" s="12">
        <v>45845</v>
      </c>
      <c r="G131">
        <f t="shared" ref="G131:G194" si="29">DAY(F131)</f>
        <v>7</v>
      </c>
      <c r="H131">
        <f t="shared" ref="H131:H194" si="30">MONTH(F131)</f>
        <v>7</v>
      </c>
      <c r="I131">
        <f t="shared" ref="I131:I194" si="31">YEAR(F131)</f>
        <v>2025</v>
      </c>
      <c r="J131" t="str">
        <f t="shared" ref="J131:J194" si="32">TEXT(F131,"dddd")</f>
        <v>Monday</v>
      </c>
      <c r="K131" t="str">
        <f t="shared" ref="K131:K194" si="33">TEXT(F131,"mmmm")</f>
        <v>July</v>
      </c>
      <c r="L131" t="str">
        <f t="shared" ref="L131:L194" ca="1" si="34">DATEDIF(F131,TODAY(),"Y")&amp;" YEAR "&amp;DATEDIF(F131,TODAY(),"YM")&amp;" MONTH "&amp;DATEDIF(F131,TODAY(),"MD")&amp;" DAY"</f>
        <v>0 YEAR 10 MONTH 15 DAY</v>
      </c>
      <c r="M131" t="str">
        <f t="shared" ref="M131:M194" ca="1" si="35">DATEDIF(A131,TODAY(),"Y")&amp;" YEAR "&amp;DATEDIF(A131,TODAY(),"YM")&amp;" MONTH "&amp;DATEDIF(A131,TODAY(),"MD")&amp;" DAY "</f>
        <v xml:space="preserve">19 YEAR 9 MONTH 20 DAY </v>
      </c>
    </row>
    <row r="132" spans="1:13">
      <c r="A132" s="13">
        <f t="shared" ca="1" si="24"/>
        <v>40616</v>
      </c>
      <c r="B132">
        <f t="shared" ca="1" si="25"/>
        <v>3</v>
      </c>
      <c r="C132">
        <f t="shared" ca="1" si="26"/>
        <v>2011</v>
      </c>
      <c r="D132">
        <f t="shared" ca="1" si="27"/>
        <v>14</v>
      </c>
      <c r="E132" t="str">
        <f t="shared" ca="1" si="28"/>
        <v>Monday</v>
      </c>
      <c r="F132" s="12">
        <v>45846</v>
      </c>
      <c r="G132">
        <f t="shared" si="29"/>
        <v>8</v>
      </c>
      <c r="H132">
        <f t="shared" si="30"/>
        <v>7</v>
      </c>
      <c r="I132">
        <f t="shared" si="31"/>
        <v>2025</v>
      </c>
      <c r="J132" t="str">
        <f t="shared" si="32"/>
        <v>Tuesday</v>
      </c>
      <c r="K132" t="str">
        <f t="shared" si="33"/>
        <v>July</v>
      </c>
      <c r="L132" t="str">
        <f t="shared" ca="1" si="34"/>
        <v>0 YEAR 10 MONTH 14 DAY</v>
      </c>
      <c r="M132" t="str">
        <f t="shared" ca="1" si="35"/>
        <v xml:space="preserve">15 YEAR 2 MONTH 8 DAY </v>
      </c>
    </row>
    <row r="133" spans="1:13">
      <c r="A133" s="13">
        <f t="shared" ca="1" si="24"/>
        <v>38147</v>
      </c>
      <c r="B133">
        <f t="shared" ca="1" si="25"/>
        <v>6</v>
      </c>
      <c r="C133">
        <f t="shared" ca="1" si="26"/>
        <v>2004</v>
      </c>
      <c r="D133">
        <f t="shared" ca="1" si="27"/>
        <v>9</v>
      </c>
      <c r="E133" t="str">
        <f t="shared" ca="1" si="28"/>
        <v>Wednesday</v>
      </c>
      <c r="F133" s="12">
        <v>45847</v>
      </c>
      <c r="G133">
        <f t="shared" si="29"/>
        <v>9</v>
      </c>
      <c r="H133">
        <f t="shared" si="30"/>
        <v>7</v>
      </c>
      <c r="I133">
        <f t="shared" si="31"/>
        <v>2025</v>
      </c>
      <c r="J133" t="str">
        <f t="shared" si="32"/>
        <v>Wednesday</v>
      </c>
      <c r="K133" t="str">
        <f t="shared" si="33"/>
        <v>July</v>
      </c>
      <c r="L133" t="str">
        <f t="shared" ca="1" si="34"/>
        <v>0 YEAR 10 MONTH 13 DAY</v>
      </c>
      <c r="M133" t="str">
        <f t="shared" ca="1" si="35"/>
        <v xml:space="preserve">21 YEAR 11 MONTH 13 DAY </v>
      </c>
    </row>
    <row r="134" spans="1:13">
      <c r="A134" s="13">
        <f t="shared" ca="1" si="24"/>
        <v>43021</v>
      </c>
      <c r="B134">
        <f t="shared" ca="1" si="25"/>
        <v>10</v>
      </c>
      <c r="C134">
        <f t="shared" ca="1" si="26"/>
        <v>2017</v>
      </c>
      <c r="D134">
        <f t="shared" ca="1" si="27"/>
        <v>13</v>
      </c>
      <c r="E134" t="str">
        <f t="shared" ca="1" si="28"/>
        <v>Friday</v>
      </c>
      <c r="F134" s="12">
        <v>45848</v>
      </c>
      <c r="G134">
        <f t="shared" si="29"/>
        <v>10</v>
      </c>
      <c r="H134">
        <f t="shared" si="30"/>
        <v>7</v>
      </c>
      <c r="I134">
        <f t="shared" si="31"/>
        <v>2025</v>
      </c>
      <c r="J134" t="str">
        <f t="shared" si="32"/>
        <v>Thursday</v>
      </c>
      <c r="K134" t="str">
        <f t="shared" si="33"/>
        <v>July</v>
      </c>
      <c r="L134" t="str">
        <f t="shared" ca="1" si="34"/>
        <v>0 YEAR 10 MONTH 12 DAY</v>
      </c>
      <c r="M134" t="str">
        <f t="shared" ca="1" si="35"/>
        <v xml:space="preserve">8 YEAR 7 MONTH 9 DAY </v>
      </c>
    </row>
    <row r="135" spans="1:13">
      <c r="A135" s="13">
        <f t="shared" ca="1" si="24"/>
        <v>42650</v>
      </c>
      <c r="B135">
        <f t="shared" ca="1" si="25"/>
        <v>10</v>
      </c>
      <c r="C135">
        <f t="shared" ca="1" si="26"/>
        <v>2016</v>
      </c>
      <c r="D135">
        <f t="shared" ca="1" si="27"/>
        <v>7</v>
      </c>
      <c r="E135" t="str">
        <f t="shared" ca="1" si="28"/>
        <v>Friday</v>
      </c>
      <c r="F135" s="12">
        <v>45849</v>
      </c>
      <c r="G135">
        <f t="shared" si="29"/>
        <v>11</v>
      </c>
      <c r="H135">
        <f t="shared" si="30"/>
        <v>7</v>
      </c>
      <c r="I135">
        <f t="shared" si="31"/>
        <v>2025</v>
      </c>
      <c r="J135" t="str">
        <f t="shared" si="32"/>
        <v>Friday</v>
      </c>
      <c r="K135" t="str">
        <f t="shared" si="33"/>
        <v>July</v>
      </c>
      <c r="L135" t="str">
        <f t="shared" ca="1" si="34"/>
        <v>0 YEAR 10 MONTH 11 DAY</v>
      </c>
      <c r="M135" t="str">
        <f t="shared" ca="1" si="35"/>
        <v xml:space="preserve">9 YEAR 7 MONTH 15 DAY </v>
      </c>
    </row>
    <row r="136" spans="1:13">
      <c r="A136" s="13">
        <f t="shared" ca="1" si="24"/>
        <v>43172</v>
      </c>
      <c r="B136">
        <f t="shared" ca="1" si="25"/>
        <v>3</v>
      </c>
      <c r="C136">
        <f t="shared" ca="1" si="26"/>
        <v>2018</v>
      </c>
      <c r="D136">
        <f t="shared" ca="1" si="27"/>
        <v>13</v>
      </c>
      <c r="E136" t="str">
        <f t="shared" ca="1" si="28"/>
        <v>Tuesday</v>
      </c>
      <c r="F136" s="12">
        <v>45850</v>
      </c>
      <c r="G136">
        <f t="shared" si="29"/>
        <v>12</v>
      </c>
      <c r="H136">
        <f t="shared" si="30"/>
        <v>7</v>
      </c>
      <c r="I136">
        <f t="shared" si="31"/>
        <v>2025</v>
      </c>
      <c r="J136" t="str">
        <f t="shared" si="32"/>
        <v>Saturday</v>
      </c>
      <c r="K136" t="str">
        <f t="shared" si="33"/>
        <v>July</v>
      </c>
      <c r="L136" t="str">
        <f t="shared" ca="1" si="34"/>
        <v>0 YEAR 10 MONTH 10 DAY</v>
      </c>
      <c r="M136" t="str">
        <f t="shared" ca="1" si="35"/>
        <v xml:space="preserve">8 YEAR 2 MONTH 9 DAY </v>
      </c>
    </row>
    <row r="137" spans="1:13">
      <c r="A137" s="13">
        <f t="shared" ca="1" si="24"/>
        <v>40894</v>
      </c>
      <c r="B137">
        <f t="shared" ca="1" si="25"/>
        <v>12</v>
      </c>
      <c r="C137">
        <f t="shared" ca="1" si="26"/>
        <v>2011</v>
      </c>
      <c r="D137">
        <f t="shared" ca="1" si="27"/>
        <v>17</v>
      </c>
      <c r="E137" t="str">
        <f t="shared" ca="1" si="28"/>
        <v>Saturday</v>
      </c>
      <c r="F137" s="12">
        <v>45851</v>
      </c>
      <c r="G137">
        <f t="shared" si="29"/>
        <v>13</v>
      </c>
      <c r="H137">
        <f t="shared" si="30"/>
        <v>7</v>
      </c>
      <c r="I137">
        <f t="shared" si="31"/>
        <v>2025</v>
      </c>
      <c r="J137" t="str">
        <f t="shared" si="32"/>
        <v>Sunday</v>
      </c>
      <c r="K137" t="str">
        <f t="shared" si="33"/>
        <v>July</v>
      </c>
      <c r="L137" t="str">
        <f t="shared" ca="1" si="34"/>
        <v>0 YEAR 10 MONTH 9 DAY</v>
      </c>
      <c r="M137" t="str">
        <f t="shared" ca="1" si="35"/>
        <v xml:space="preserve">14 YEAR 5 MONTH 5 DAY </v>
      </c>
    </row>
    <row r="138" spans="1:13">
      <c r="A138" s="13">
        <f t="shared" ca="1" si="24"/>
        <v>43546</v>
      </c>
      <c r="B138">
        <f t="shared" ca="1" si="25"/>
        <v>3</v>
      </c>
      <c r="C138">
        <f t="shared" ca="1" si="26"/>
        <v>2019</v>
      </c>
      <c r="D138">
        <f t="shared" ca="1" si="27"/>
        <v>22</v>
      </c>
      <c r="E138" t="str">
        <f t="shared" ca="1" si="28"/>
        <v>Friday</v>
      </c>
      <c r="F138" s="12">
        <v>45852</v>
      </c>
      <c r="G138">
        <f t="shared" si="29"/>
        <v>14</v>
      </c>
      <c r="H138">
        <f t="shared" si="30"/>
        <v>7</v>
      </c>
      <c r="I138">
        <f t="shared" si="31"/>
        <v>2025</v>
      </c>
      <c r="J138" t="str">
        <f t="shared" si="32"/>
        <v>Monday</v>
      </c>
      <c r="K138" t="str">
        <f t="shared" si="33"/>
        <v>July</v>
      </c>
      <c r="L138" t="str">
        <f t="shared" ca="1" si="34"/>
        <v>0 YEAR 10 MONTH 8 DAY</v>
      </c>
      <c r="M138" t="str">
        <f t="shared" ca="1" si="35"/>
        <v xml:space="preserve">7 YEAR 2 MONTH 0 DAY </v>
      </c>
    </row>
    <row r="139" spans="1:13">
      <c r="A139" s="13">
        <f t="shared" ca="1" si="24"/>
        <v>45163</v>
      </c>
      <c r="B139">
        <f t="shared" ca="1" si="25"/>
        <v>8</v>
      </c>
      <c r="C139">
        <f t="shared" ca="1" si="26"/>
        <v>2023</v>
      </c>
      <c r="D139">
        <f t="shared" ca="1" si="27"/>
        <v>25</v>
      </c>
      <c r="E139" t="str">
        <f t="shared" ca="1" si="28"/>
        <v>Friday</v>
      </c>
      <c r="F139" s="12">
        <v>45853</v>
      </c>
      <c r="G139">
        <f t="shared" si="29"/>
        <v>15</v>
      </c>
      <c r="H139">
        <f t="shared" si="30"/>
        <v>7</v>
      </c>
      <c r="I139">
        <f t="shared" si="31"/>
        <v>2025</v>
      </c>
      <c r="J139" t="str">
        <f t="shared" si="32"/>
        <v>Tuesday</v>
      </c>
      <c r="K139" t="str">
        <f t="shared" si="33"/>
        <v>July</v>
      </c>
      <c r="L139" t="str">
        <f t="shared" ca="1" si="34"/>
        <v>0 YEAR 10 MONTH 7 DAY</v>
      </c>
      <c r="M139" t="str">
        <f t="shared" ca="1" si="35"/>
        <v xml:space="preserve">2 YEAR 8 MONTH 27 DAY </v>
      </c>
    </row>
    <row r="140" spans="1:13">
      <c r="A140" s="13">
        <f t="shared" ca="1" si="24"/>
        <v>43387</v>
      </c>
      <c r="B140">
        <f t="shared" ca="1" si="25"/>
        <v>10</v>
      </c>
      <c r="C140">
        <f t="shared" ca="1" si="26"/>
        <v>2018</v>
      </c>
      <c r="D140">
        <f t="shared" ca="1" si="27"/>
        <v>14</v>
      </c>
      <c r="E140" t="str">
        <f t="shared" ca="1" si="28"/>
        <v>Sunday</v>
      </c>
      <c r="F140" s="12">
        <v>45854</v>
      </c>
      <c r="G140">
        <f t="shared" si="29"/>
        <v>16</v>
      </c>
      <c r="H140">
        <f t="shared" si="30"/>
        <v>7</v>
      </c>
      <c r="I140">
        <f t="shared" si="31"/>
        <v>2025</v>
      </c>
      <c r="J140" t="str">
        <f t="shared" si="32"/>
        <v>Wednesday</v>
      </c>
      <c r="K140" t="str">
        <f t="shared" si="33"/>
        <v>July</v>
      </c>
      <c r="L140" t="str">
        <f t="shared" ca="1" si="34"/>
        <v>0 YEAR 10 MONTH 6 DAY</v>
      </c>
      <c r="M140" t="str">
        <f t="shared" ca="1" si="35"/>
        <v xml:space="preserve">7 YEAR 7 MONTH 8 DAY </v>
      </c>
    </row>
    <row r="141" spans="1:13">
      <c r="A141" s="13">
        <f t="shared" ca="1" si="24"/>
        <v>45688</v>
      </c>
      <c r="B141">
        <f t="shared" ca="1" si="25"/>
        <v>1</v>
      </c>
      <c r="C141">
        <f t="shared" ca="1" si="26"/>
        <v>2025</v>
      </c>
      <c r="D141">
        <f t="shared" ca="1" si="27"/>
        <v>31</v>
      </c>
      <c r="E141" t="str">
        <f t="shared" ca="1" si="28"/>
        <v>Friday</v>
      </c>
      <c r="F141" s="12">
        <v>45855</v>
      </c>
      <c r="G141">
        <f t="shared" si="29"/>
        <v>17</v>
      </c>
      <c r="H141">
        <f t="shared" si="30"/>
        <v>7</v>
      </c>
      <c r="I141">
        <f t="shared" si="31"/>
        <v>2025</v>
      </c>
      <c r="J141" t="str">
        <f t="shared" si="32"/>
        <v>Thursday</v>
      </c>
      <c r="K141" t="str">
        <f t="shared" si="33"/>
        <v>July</v>
      </c>
      <c r="L141" t="str">
        <f t="shared" ca="1" si="34"/>
        <v>0 YEAR 10 MONTH 5 DAY</v>
      </c>
      <c r="M141" t="str">
        <f t="shared" ca="1" si="35"/>
        <v xml:space="preserve">1 YEAR 3 MONTH 21 DAY </v>
      </c>
    </row>
    <row r="142" spans="1:13">
      <c r="A142" s="13">
        <f t="shared" ca="1" si="24"/>
        <v>39677</v>
      </c>
      <c r="B142">
        <f t="shared" ca="1" si="25"/>
        <v>8</v>
      </c>
      <c r="C142">
        <f t="shared" ca="1" si="26"/>
        <v>2008</v>
      </c>
      <c r="D142">
        <f t="shared" ca="1" si="27"/>
        <v>17</v>
      </c>
      <c r="E142" t="str">
        <f t="shared" ca="1" si="28"/>
        <v>Sunday</v>
      </c>
      <c r="F142" s="12">
        <v>45856</v>
      </c>
      <c r="G142">
        <f t="shared" si="29"/>
        <v>18</v>
      </c>
      <c r="H142">
        <f t="shared" si="30"/>
        <v>7</v>
      </c>
      <c r="I142">
        <f t="shared" si="31"/>
        <v>2025</v>
      </c>
      <c r="J142" t="str">
        <f t="shared" si="32"/>
        <v>Friday</v>
      </c>
      <c r="K142" t="str">
        <f t="shared" si="33"/>
        <v>July</v>
      </c>
      <c r="L142" t="str">
        <f t="shared" ca="1" si="34"/>
        <v>0 YEAR 10 MONTH 4 DAY</v>
      </c>
      <c r="M142" t="str">
        <f t="shared" ca="1" si="35"/>
        <v xml:space="preserve">17 YEAR 9 MONTH 5 DAY </v>
      </c>
    </row>
    <row r="143" spans="1:13">
      <c r="A143" s="13">
        <f t="shared" ca="1" si="24"/>
        <v>38393</v>
      </c>
      <c r="B143">
        <f t="shared" ca="1" si="25"/>
        <v>2</v>
      </c>
      <c r="C143">
        <f t="shared" ca="1" si="26"/>
        <v>2005</v>
      </c>
      <c r="D143">
        <f t="shared" ca="1" si="27"/>
        <v>10</v>
      </c>
      <c r="E143" t="str">
        <f t="shared" ca="1" si="28"/>
        <v>Thursday</v>
      </c>
      <c r="F143" s="12">
        <v>45857</v>
      </c>
      <c r="G143">
        <f t="shared" si="29"/>
        <v>19</v>
      </c>
      <c r="H143">
        <f t="shared" si="30"/>
        <v>7</v>
      </c>
      <c r="I143">
        <f t="shared" si="31"/>
        <v>2025</v>
      </c>
      <c r="J143" t="str">
        <f t="shared" si="32"/>
        <v>Saturday</v>
      </c>
      <c r="K143" t="str">
        <f t="shared" si="33"/>
        <v>July</v>
      </c>
      <c r="L143" t="str">
        <f t="shared" ca="1" si="34"/>
        <v>0 YEAR 10 MONTH 3 DAY</v>
      </c>
      <c r="M143" t="str">
        <f t="shared" ca="1" si="35"/>
        <v xml:space="preserve">21 YEAR 3 MONTH 12 DAY </v>
      </c>
    </row>
    <row r="144" spans="1:13">
      <c r="A144" s="13">
        <f t="shared" ca="1" si="24"/>
        <v>38888</v>
      </c>
      <c r="B144">
        <f t="shared" ca="1" si="25"/>
        <v>6</v>
      </c>
      <c r="C144">
        <f t="shared" ca="1" si="26"/>
        <v>2006</v>
      </c>
      <c r="D144">
        <f t="shared" ca="1" si="27"/>
        <v>20</v>
      </c>
      <c r="E144" t="str">
        <f t="shared" ca="1" si="28"/>
        <v>Tuesday</v>
      </c>
      <c r="F144" s="12">
        <v>45858</v>
      </c>
      <c r="G144">
        <f t="shared" si="29"/>
        <v>20</v>
      </c>
      <c r="H144">
        <f t="shared" si="30"/>
        <v>7</v>
      </c>
      <c r="I144">
        <f t="shared" si="31"/>
        <v>2025</v>
      </c>
      <c r="J144" t="str">
        <f t="shared" si="32"/>
        <v>Sunday</v>
      </c>
      <c r="K144" t="str">
        <f t="shared" si="33"/>
        <v>July</v>
      </c>
      <c r="L144" t="str">
        <f t="shared" ca="1" si="34"/>
        <v>0 YEAR 10 MONTH 2 DAY</v>
      </c>
      <c r="M144" t="str">
        <f t="shared" ca="1" si="35"/>
        <v xml:space="preserve">19 YEAR 11 MONTH 2 DAY </v>
      </c>
    </row>
    <row r="145" spans="1:13">
      <c r="A145" s="13">
        <f t="shared" ca="1" si="24"/>
        <v>39820</v>
      </c>
      <c r="B145">
        <f t="shared" ca="1" si="25"/>
        <v>1</v>
      </c>
      <c r="C145">
        <f t="shared" ca="1" si="26"/>
        <v>2009</v>
      </c>
      <c r="D145">
        <f t="shared" ca="1" si="27"/>
        <v>7</v>
      </c>
      <c r="E145" t="str">
        <f t="shared" ca="1" si="28"/>
        <v>Wednesday</v>
      </c>
      <c r="F145" s="12">
        <v>45859</v>
      </c>
      <c r="G145">
        <f t="shared" si="29"/>
        <v>21</v>
      </c>
      <c r="H145">
        <f t="shared" si="30"/>
        <v>7</v>
      </c>
      <c r="I145">
        <f t="shared" si="31"/>
        <v>2025</v>
      </c>
      <c r="J145" t="str">
        <f t="shared" si="32"/>
        <v>Monday</v>
      </c>
      <c r="K145" t="str">
        <f t="shared" si="33"/>
        <v>July</v>
      </c>
      <c r="L145" t="str">
        <f t="shared" ca="1" si="34"/>
        <v>0 YEAR 10 MONTH 1 DAY</v>
      </c>
      <c r="M145" t="str">
        <f t="shared" ca="1" si="35"/>
        <v xml:space="preserve">17 YEAR 4 MONTH 15 DAY </v>
      </c>
    </row>
    <row r="146" spans="1:13">
      <c r="A146" s="13">
        <f t="shared" ca="1" si="24"/>
        <v>44288</v>
      </c>
      <c r="B146">
        <f t="shared" ca="1" si="25"/>
        <v>4</v>
      </c>
      <c r="C146">
        <f t="shared" ca="1" si="26"/>
        <v>2021</v>
      </c>
      <c r="D146">
        <f t="shared" ca="1" si="27"/>
        <v>2</v>
      </c>
      <c r="E146" t="str">
        <f t="shared" ca="1" si="28"/>
        <v>Friday</v>
      </c>
      <c r="F146" s="12">
        <v>45860</v>
      </c>
      <c r="G146">
        <f t="shared" si="29"/>
        <v>22</v>
      </c>
      <c r="H146">
        <f t="shared" si="30"/>
        <v>7</v>
      </c>
      <c r="I146">
        <f t="shared" si="31"/>
        <v>2025</v>
      </c>
      <c r="J146" t="str">
        <f t="shared" si="32"/>
        <v>Tuesday</v>
      </c>
      <c r="K146" t="str">
        <f t="shared" si="33"/>
        <v>July</v>
      </c>
      <c r="L146" t="str">
        <f t="shared" ca="1" si="34"/>
        <v>0 YEAR 10 MONTH 0 DAY</v>
      </c>
      <c r="M146" t="str">
        <f t="shared" ca="1" si="35"/>
        <v xml:space="preserve">5 YEAR 1 MONTH 20 DAY </v>
      </c>
    </row>
    <row r="147" spans="1:13">
      <c r="A147" s="13">
        <f t="shared" ca="1" si="24"/>
        <v>43044</v>
      </c>
      <c r="B147">
        <f t="shared" ca="1" si="25"/>
        <v>11</v>
      </c>
      <c r="C147">
        <f t="shared" ca="1" si="26"/>
        <v>2017</v>
      </c>
      <c r="D147">
        <f t="shared" ca="1" si="27"/>
        <v>5</v>
      </c>
      <c r="E147" t="str">
        <f t="shared" ca="1" si="28"/>
        <v>Sunday</v>
      </c>
      <c r="F147" s="12">
        <v>45861</v>
      </c>
      <c r="G147">
        <f t="shared" si="29"/>
        <v>23</v>
      </c>
      <c r="H147">
        <f t="shared" si="30"/>
        <v>7</v>
      </c>
      <c r="I147">
        <f t="shared" si="31"/>
        <v>2025</v>
      </c>
      <c r="J147" t="str">
        <f t="shared" si="32"/>
        <v>Wednesday</v>
      </c>
      <c r="K147" t="str">
        <f t="shared" si="33"/>
        <v>July</v>
      </c>
      <c r="L147" t="str">
        <f t="shared" ca="1" si="34"/>
        <v>0 YEAR 9 MONTH 29 DAY</v>
      </c>
      <c r="M147" t="str">
        <f t="shared" ca="1" si="35"/>
        <v xml:space="preserve">8 YEAR 6 MONTH 17 DAY </v>
      </c>
    </row>
    <row r="148" spans="1:13">
      <c r="A148" s="13">
        <f t="shared" ca="1" si="24"/>
        <v>39064</v>
      </c>
      <c r="B148">
        <f t="shared" ca="1" si="25"/>
        <v>12</v>
      </c>
      <c r="C148">
        <f t="shared" ca="1" si="26"/>
        <v>2006</v>
      </c>
      <c r="D148">
        <f t="shared" ca="1" si="27"/>
        <v>13</v>
      </c>
      <c r="E148" t="str">
        <f t="shared" ca="1" si="28"/>
        <v>Wednesday</v>
      </c>
      <c r="F148" s="12">
        <v>45862</v>
      </c>
      <c r="G148">
        <f t="shared" si="29"/>
        <v>24</v>
      </c>
      <c r="H148">
        <f t="shared" si="30"/>
        <v>7</v>
      </c>
      <c r="I148">
        <f t="shared" si="31"/>
        <v>2025</v>
      </c>
      <c r="J148" t="str">
        <f t="shared" si="32"/>
        <v>Thursday</v>
      </c>
      <c r="K148" t="str">
        <f t="shared" si="33"/>
        <v>July</v>
      </c>
      <c r="L148" t="str">
        <f t="shared" ca="1" si="34"/>
        <v>0 YEAR 9 MONTH 28 DAY</v>
      </c>
      <c r="M148" t="str">
        <f t="shared" ca="1" si="35"/>
        <v xml:space="preserve">19 YEAR 5 MONTH 9 DAY </v>
      </c>
    </row>
    <row r="149" spans="1:13">
      <c r="A149" s="13">
        <f t="shared" ca="1" si="24"/>
        <v>41586</v>
      </c>
      <c r="B149">
        <f t="shared" ca="1" si="25"/>
        <v>11</v>
      </c>
      <c r="C149">
        <f t="shared" ca="1" si="26"/>
        <v>2013</v>
      </c>
      <c r="D149">
        <f t="shared" ca="1" si="27"/>
        <v>8</v>
      </c>
      <c r="E149" t="str">
        <f t="shared" ca="1" si="28"/>
        <v>Friday</v>
      </c>
      <c r="F149" s="12">
        <v>45863</v>
      </c>
      <c r="G149">
        <f t="shared" si="29"/>
        <v>25</v>
      </c>
      <c r="H149">
        <f t="shared" si="30"/>
        <v>7</v>
      </c>
      <c r="I149">
        <f t="shared" si="31"/>
        <v>2025</v>
      </c>
      <c r="J149" t="str">
        <f t="shared" si="32"/>
        <v>Friday</v>
      </c>
      <c r="K149" t="str">
        <f t="shared" si="33"/>
        <v>July</v>
      </c>
      <c r="L149" t="str">
        <f t="shared" ca="1" si="34"/>
        <v>0 YEAR 9 MONTH 27 DAY</v>
      </c>
      <c r="M149" t="str">
        <f t="shared" ca="1" si="35"/>
        <v xml:space="preserve">12 YEAR 6 MONTH 14 DAY </v>
      </c>
    </row>
    <row r="150" spans="1:13">
      <c r="A150" s="13">
        <f t="shared" ca="1" si="24"/>
        <v>40836</v>
      </c>
      <c r="B150">
        <f t="shared" ca="1" si="25"/>
        <v>10</v>
      </c>
      <c r="C150">
        <f t="shared" ca="1" si="26"/>
        <v>2011</v>
      </c>
      <c r="D150">
        <f t="shared" ca="1" si="27"/>
        <v>20</v>
      </c>
      <c r="E150" t="str">
        <f t="shared" ca="1" si="28"/>
        <v>Thursday</v>
      </c>
      <c r="F150" s="12">
        <v>45864</v>
      </c>
      <c r="G150">
        <f t="shared" si="29"/>
        <v>26</v>
      </c>
      <c r="H150">
        <f t="shared" si="30"/>
        <v>7</v>
      </c>
      <c r="I150">
        <f t="shared" si="31"/>
        <v>2025</v>
      </c>
      <c r="J150" t="str">
        <f t="shared" si="32"/>
        <v>Saturday</v>
      </c>
      <c r="K150" t="str">
        <f t="shared" si="33"/>
        <v>July</v>
      </c>
      <c r="L150" t="str">
        <f t="shared" ca="1" si="34"/>
        <v>0 YEAR 9 MONTH 26 DAY</v>
      </c>
      <c r="M150" t="str">
        <f t="shared" ca="1" si="35"/>
        <v xml:space="preserve">14 YEAR 7 MONTH 2 DAY </v>
      </c>
    </row>
    <row r="151" spans="1:13">
      <c r="A151" s="13">
        <f t="shared" ca="1" si="24"/>
        <v>42142</v>
      </c>
      <c r="B151">
        <f t="shared" ca="1" si="25"/>
        <v>5</v>
      </c>
      <c r="C151">
        <f t="shared" ca="1" si="26"/>
        <v>2015</v>
      </c>
      <c r="D151">
        <f t="shared" ca="1" si="27"/>
        <v>18</v>
      </c>
      <c r="E151" t="str">
        <f t="shared" ca="1" si="28"/>
        <v>Monday</v>
      </c>
      <c r="F151" s="12">
        <v>45865</v>
      </c>
      <c r="G151">
        <f t="shared" si="29"/>
        <v>27</v>
      </c>
      <c r="H151">
        <f t="shared" si="30"/>
        <v>7</v>
      </c>
      <c r="I151">
        <f t="shared" si="31"/>
        <v>2025</v>
      </c>
      <c r="J151" t="str">
        <f t="shared" si="32"/>
        <v>Sunday</v>
      </c>
      <c r="K151" t="str">
        <f t="shared" si="33"/>
        <v>July</v>
      </c>
      <c r="L151" t="str">
        <f t="shared" ca="1" si="34"/>
        <v>0 YEAR 9 MONTH 25 DAY</v>
      </c>
      <c r="M151" t="str">
        <f t="shared" ca="1" si="35"/>
        <v xml:space="preserve">11 YEAR 0 MONTH 4 DAY </v>
      </c>
    </row>
    <row r="152" spans="1:13">
      <c r="A152" s="13">
        <f t="shared" ca="1" si="24"/>
        <v>43324</v>
      </c>
      <c r="B152">
        <f t="shared" ca="1" si="25"/>
        <v>8</v>
      </c>
      <c r="C152">
        <f t="shared" ca="1" si="26"/>
        <v>2018</v>
      </c>
      <c r="D152">
        <f t="shared" ca="1" si="27"/>
        <v>12</v>
      </c>
      <c r="E152" t="str">
        <f t="shared" ca="1" si="28"/>
        <v>Sunday</v>
      </c>
      <c r="F152" s="12">
        <v>45866</v>
      </c>
      <c r="G152">
        <f t="shared" si="29"/>
        <v>28</v>
      </c>
      <c r="H152">
        <f t="shared" si="30"/>
        <v>7</v>
      </c>
      <c r="I152">
        <f t="shared" si="31"/>
        <v>2025</v>
      </c>
      <c r="J152" t="str">
        <f t="shared" si="32"/>
        <v>Monday</v>
      </c>
      <c r="K152" t="str">
        <f t="shared" si="33"/>
        <v>July</v>
      </c>
      <c r="L152" t="str">
        <f t="shared" ca="1" si="34"/>
        <v>0 YEAR 9 MONTH 24 DAY</v>
      </c>
      <c r="M152" t="str">
        <f t="shared" ca="1" si="35"/>
        <v xml:space="preserve">7 YEAR 9 MONTH 10 DAY </v>
      </c>
    </row>
    <row r="153" spans="1:13">
      <c r="A153" s="13">
        <f t="shared" ca="1" si="24"/>
        <v>38726</v>
      </c>
      <c r="B153">
        <f t="shared" ca="1" si="25"/>
        <v>1</v>
      </c>
      <c r="C153">
        <f t="shared" ca="1" si="26"/>
        <v>2006</v>
      </c>
      <c r="D153">
        <f t="shared" ca="1" si="27"/>
        <v>9</v>
      </c>
      <c r="E153" t="str">
        <f t="shared" ca="1" si="28"/>
        <v>Monday</v>
      </c>
      <c r="F153" s="12">
        <v>45867</v>
      </c>
      <c r="G153">
        <f t="shared" si="29"/>
        <v>29</v>
      </c>
      <c r="H153">
        <f t="shared" si="30"/>
        <v>7</v>
      </c>
      <c r="I153">
        <f t="shared" si="31"/>
        <v>2025</v>
      </c>
      <c r="J153" t="str">
        <f t="shared" si="32"/>
        <v>Tuesday</v>
      </c>
      <c r="K153" t="str">
        <f t="shared" si="33"/>
        <v>July</v>
      </c>
      <c r="L153" t="str">
        <f t="shared" ca="1" si="34"/>
        <v>0 YEAR 9 MONTH 23 DAY</v>
      </c>
      <c r="M153" t="str">
        <f t="shared" ca="1" si="35"/>
        <v xml:space="preserve">20 YEAR 4 MONTH 13 DAY </v>
      </c>
    </row>
    <row r="154" spans="1:13">
      <c r="A154" s="13">
        <f t="shared" ca="1" si="24"/>
        <v>42138</v>
      </c>
      <c r="B154">
        <f t="shared" ca="1" si="25"/>
        <v>5</v>
      </c>
      <c r="C154">
        <f t="shared" ca="1" si="26"/>
        <v>2015</v>
      </c>
      <c r="D154">
        <f t="shared" ca="1" si="27"/>
        <v>14</v>
      </c>
      <c r="E154" t="str">
        <f t="shared" ca="1" si="28"/>
        <v>Thursday</v>
      </c>
      <c r="F154" s="12">
        <v>45868</v>
      </c>
      <c r="G154">
        <f t="shared" si="29"/>
        <v>30</v>
      </c>
      <c r="H154">
        <f t="shared" si="30"/>
        <v>7</v>
      </c>
      <c r="I154">
        <f t="shared" si="31"/>
        <v>2025</v>
      </c>
      <c r="J154" t="str">
        <f t="shared" si="32"/>
        <v>Wednesday</v>
      </c>
      <c r="K154" t="str">
        <f t="shared" si="33"/>
        <v>July</v>
      </c>
      <c r="L154" t="str">
        <f t="shared" ca="1" si="34"/>
        <v>0 YEAR 9 MONTH 22 DAY</v>
      </c>
      <c r="M154" t="str">
        <f t="shared" ca="1" si="35"/>
        <v xml:space="preserve">11 YEAR 0 MONTH 8 DAY </v>
      </c>
    </row>
    <row r="155" spans="1:13">
      <c r="A155" s="13">
        <f t="shared" ca="1" si="24"/>
        <v>43149</v>
      </c>
      <c r="B155">
        <f t="shared" ca="1" si="25"/>
        <v>2</v>
      </c>
      <c r="C155">
        <f t="shared" ca="1" si="26"/>
        <v>2018</v>
      </c>
      <c r="D155">
        <f t="shared" ca="1" si="27"/>
        <v>18</v>
      </c>
      <c r="E155" t="str">
        <f t="shared" ca="1" si="28"/>
        <v>Sunday</v>
      </c>
      <c r="F155" s="12">
        <v>45869</v>
      </c>
      <c r="G155">
        <f t="shared" si="29"/>
        <v>31</v>
      </c>
      <c r="H155">
        <f t="shared" si="30"/>
        <v>7</v>
      </c>
      <c r="I155">
        <f t="shared" si="31"/>
        <v>2025</v>
      </c>
      <c r="J155" t="str">
        <f t="shared" si="32"/>
        <v>Thursday</v>
      </c>
      <c r="K155" t="str">
        <f t="shared" si="33"/>
        <v>July</v>
      </c>
      <c r="L155" t="str">
        <f t="shared" ca="1" si="34"/>
        <v>0 YEAR 9 MONTH 21 DAY</v>
      </c>
      <c r="M155" t="str">
        <f t="shared" ca="1" si="35"/>
        <v xml:space="preserve">8 YEAR 3 MONTH 4 DAY </v>
      </c>
    </row>
    <row r="156" spans="1:13">
      <c r="A156" s="13">
        <f t="shared" ca="1" si="24"/>
        <v>43294</v>
      </c>
      <c r="B156">
        <f t="shared" ca="1" si="25"/>
        <v>7</v>
      </c>
      <c r="C156">
        <f t="shared" ca="1" si="26"/>
        <v>2018</v>
      </c>
      <c r="D156">
        <f t="shared" ca="1" si="27"/>
        <v>13</v>
      </c>
      <c r="E156" t="str">
        <f t="shared" ca="1" si="28"/>
        <v>Friday</v>
      </c>
      <c r="F156" s="12">
        <v>45870</v>
      </c>
      <c r="G156">
        <f t="shared" si="29"/>
        <v>1</v>
      </c>
      <c r="H156">
        <f t="shared" si="30"/>
        <v>8</v>
      </c>
      <c r="I156">
        <f t="shared" si="31"/>
        <v>2025</v>
      </c>
      <c r="J156" t="str">
        <f t="shared" si="32"/>
        <v>Friday</v>
      </c>
      <c r="K156" t="str">
        <f t="shared" si="33"/>
        <v>August</v>
      </c>
      <c r="L156" t="str">
        <f t="shared" ca="1" si="34"/>
        <v>0 YEAR 9 MONTH 21 DAY</v>
      </c>
      <c r="M156" t="str">
        <f t="shared" ca="1" si="35"/>
        <v xml:space="preserve">7 YEAR 10 MONTH 9 DAY </v>
      </c>
    </row>
    <row r="157" spans="1:13">
      <c r="A157" s="13">
        <f t="shared" ca="1" si="24"/>
        <v>45106</v>
      </c>
      <c r="B157">
        <f t="shared" ca="1" si="25"/>
        <v>6</v>
      </c>
      <c r="C157">
        <f t="shared" ca="1" si="26"/>
        <v>2023</v>
      </c>
      <c r="D157">
        <f t="shared" ca="1" si="27"/>
        <v>29</v>
      </c>
      <c r="E157" t="str">
        <f t="shared" ca="1" si="28"/>
        <v>Thursday</v>
      </c>
      <c r="F157" s="12">
        <v>45871</v>
      </c>
      <c r="G157">
        <f t="shared" si="29"/>
        <v>2</v>
      </c>
      <c r="H157">
        <f t="shared" si="30"/>
        <v>8</v>
      </c>
      <c r="I157">
        <f t="shared" si="31"/>
        <v>2025</v>
      </c>
      <c r="J157" t="str">
        <f t="shared" si="32"/>
        <v>Saturday</v>
      </c>
      <c r="K157" t="str">
        <f t="shared" si="33"/>
        <v>August</v>
      </c>
      <c r="L157" t="str">
        <f t="shared" ca="1" si="34"/>
        <v>0 YEAR 9 MONTH 20 DAY</v>
      </c>
      <c r="M157" t="str">
        <f t="shared" ca="1" si="35"/>
        <v xml:space="preserve">2 YEAR 10 MONTH 23 DAY </v>
      </c>
    </row>
    <row r="158" spans="1:13">
      <c r="A158" s="13">
        <f t="shared" ca="1" si="24"/>
        <v>45833</v>
      </c>
      <c r="B158">
        <f t="shared" ca="1" si="25"/>
        <v>6</v>
      </c>
      <c r="C158">
        <f t="shared" ca="1" si="26"/>
        <v>2025</v>
      </c>
      <c r="D158">
        <f t="shared" ca="1" si="27"/>
        <v>25</v>
      </c>
      <c r="E158" t="str">
        <f t="shared" ca="1" si="28"/>
        <v>Wednesday</v>
      </c>
      <c r="F158" s="12">
        <v>45872</v>
      </c>
      <c r="G158">
        <f t="shared" si="29"/>
        <v>3</v>
      </c>
      <c r="H158">
        <f t="shared" si="30"/>
        <v>8</v>
      </c>
      <c r="I158">
        <f t="shared" si="31"/>
        <v>2025</v>
      </c>
      <c r="J158" t="str">
        <f t="shared" si="32"/>
        <v>Sunday</v>
      </c>
      <c r="K158" t="str">
        <f t="shared" si="33"/>
        <v>August</v>
      </c>
      <c r="L158" t="str">
        <f t="shared" ca="1" si="34"/>
        <v>0 YEAR 9 MONTH 19 DAY</v>
      </c>
      <c r="M158" t="str">
        <f t="shared" ca="1" si="35"/>
        <v xml:space="preserve">0 YEAR 10 MONTH 27 DAY </v>
      </c>
    </row>
    <row r="159" spans="1:13">
      <c r="A159" s="13">
        <f t="shared" ca="1" si="24"/>
        <v>39191</v>
      </c>
      <c r="B159">
        <f t="shared" ca="1" si="25"/>
        <v>4</v>
      </c>
      <c r="C159">
        <f t="shared" ca="1" si="26"/>
        <v>2007</v>
      </c>
      <c r="D159">
        <f t="shared" ca="1" si="27"/>
        <v>19</v>
      </c>
      <c r="E159" t="str">
        <f t="shared" ca="1" si="28"/>
        <v>Thursday</v>
      </c>
      <c r="F159" s="12">
        <v>45873</v>
      </c>
      <c r="G159">
        <f t="shared" si="29"/>
        <v>4</v>
      </c>
      <c r="H159">
        <f t="shared" si="30"/>
        <v>8</v>
      </c>
      <c r="I159">
        <f t="shared" si="31"/>
        <v>2025</v>
      </c>
      <c r="J159" t="str">
        <f t="shared" si="32"/>
        <v>Monday</v>
      </c>
      <c r="K159" t="str">
        <f t="shared" si="33"/>
        <v>August</v>
      </c>
      <c r="L159" t="str">
        <f t="shared" ca="1" si="34"/>
        <v>0 YEAR 9 MONTH 18 DAY</v>
      </c>
      <c r="M159" t="str">
        <f t="shared" ca="1" si="35"/>
        <v xml:space="preserve">19 YEAR 1 MONTH 3 DAY </v>
      </c>
    </row>
    <row r="160" spans="1:13">
      <c r="A160" s="13">
        <f t="shared" ca="1" si="24"/>
        <v>39456</v>
      </c>
      <c r="B160">
        <f t="shared" ca="1" si="25"/>
        <v>1</v>
      </c>
      <c r="C160">
        <f t="shared" ca="1" si="26"/>
        <v>2008</v>
      </c>
      <c r="D160">
        <f t="shared" ca="1" si="27"/>
        <v>9</v>
      </c>
      <c r="E160" t="str">
        <f t="shared" ca="1" si="28"/>
        <v>Wednesday</v>
      </c>
      <c r="F160" s="12">
        <v>45874</v>
      </c>
      <c r="G160">
        <f t="shared" si="29"/>
        <v>5</v>
      </c>
      <c r="H160">
        <f t="shared" si="30"/>
        <v>8</v>
      </c>
      <c r="I160">
        <f t="shared" si="31"/>
        <v>2025</v>
      </c>
      <c r="J160" t="str">
        <f t="shared" si="32"/>
        <v>Tuesday</v>
      </c>
      <c r="K160" t="str">
        <f t="shared" si="33"/>
        <v>August</v>
      </c>
      <c r="L160" t="str">
        <f t="shared" ca="1" si="34"/>
        <v>0 YEAR 9 MONTH 17 DAY</v>
      </c>
      <c r="M160" t="str">
        <f t="shared" ca="1" si="35"/>
        <v xml:space="preserve">18 YEAR 4 MONTH 13 DAY </v>
      </c>
    </row>
    <row r="161" spans="1:13">
      <c r="A161" s="13">
        <f t="shared" ca="1" si="24"/>
        <v>39871</v>
      </c>
      <c r="B161">
        <f t="shared" ca="1" si="25"/>
        <v>2</v>
      </c>
      <c r="C161">
        <f t="shared" ca="1" si="26"/>
        <v>2009</v>
      </c>
      <c r="D161">
        <f t="shared" ca="1" si="27"/>
        <v>27</v>
      </c>
      <c r="E161" t="str">
        <f t="shared" ca="1" si="28"/>
        <v>Friday</v>
      </c>
      <c r="F161" s="12">
        <v>45875</v>
      </c>
      <c r="G161">
        <f t="shared" si="29"/>
        <v>6</v>
      </c>
      <c r="H161">
        <f t="shared" si="30"/>
        <v>8</v>
      </c>
      <c r="I161">
        <f t="shared" si="31"/>
        <v>2025</v>
      </c>
      <c r="J161" t="str">
        <f t="shared" si="32"/>
        <v>Wednesday</v>
      </c>
      <c r="K161" t="str">
        <f t="shared" si="33"/>
        <v>August</v>
      </c>
      <c r="L161" t="str">
        <f t="shared" ca="1" si="34"/>
        <v>0 YEAR 9 MONTH 16 DAY</v>
      </c>
      <c r="M161" t="str">
        <f t="shared" ca="1" si="35"/>
        <v xml:space="preserve">17 YEAR 2 MONTH 25 DAY </v>
      </c>
    </row>
    <row r="162" spans="1:13">
      <c r="A162" s="13">
        <f t="shared" ca="1" si="24"/>
        <v>39983</v>
      </c>
      <c r="B162">
        <f t="shared" ca="1" si="25"/>
        <v>6</v>
      </c>
      <c r="C162">
        <f t="shared" ca="1" si="26"/>
        <v>2009</v>
      </c>
      <c r="D162">
        <f t="shared" ca="1" si="27"/>
        <v>19</v>
      </c>
      <c r="E162" t="str">
        <f t="shared" ca="1" si="28"/>
        <v>Friday</v>
      </c>
      <c r="F162" s="12">
        <v>45876</v>
      </c>
      <c r="G162">
        <f t="shared" si="29"/>
        <v>7</v>
      </c>
      <c r="H162">
        <f t="shared" si="30"/>
        <v>8</v>
      </c>
      <c r="I162">
        <f t="shared" si="31"/>
        <v>2025</v>
      </c>
      <c r="J162" t="str">
        <f t="shared" si="32"/>
        <v>Thursday</v>
      </c>
      <c r="K162" t="str">
        <f t="shared" si="33"/>
        <v>August</v>
      </c>
      <c r="L162" t="str">
        <f t="shared" ca="1" si="34"/>
        <v>0 YEAR 9 MONTH 15 DAY</v>
      </c>
      <c r="M162" t="str">
        <f t="shared" ca="1" si="35"/>
        <v xml:space="preserve">16 YEAR 11 MONTH 3 DAY </v>
      </c>
    </row>
    <row r="163" spans="1:13">
      <c r="A163" s="13">
        <f t="shared" ca="1" si="24"/>
        <v>40250</v>
      </c>
      <c r="B163">
        <f t="shared" ca="1" si="25"/>
        <v>3</v>
      </c>
      <c r="C163">
        <f t="shared" ca="1" si="26"/>
        <v>2010</v>
      </c>
      <c r="D163">
        <f t="shared" ca="1" si="27"/>
        <v>13</v>
      </c>
      <c r="E163" t="str">
        <f t="shared" ca="1" si="28"/>
        <v>Saturday</v>
      </c>
      <c r="F163" s="12">
        <v>45877</v>
      </c>
      <c r="G163">
        <f t="shared" si="29"/>
        <v>8</v>
      </c>
      <c r="H163">
        <f t="shared" si="30"/>
        <v>8</v>
      </c>
      <c r="I163">
        <f t="shared" si="31"/>
        <v>2025</v>
      </c>
      <c r="J163" t="str">
        <f t="shared" si="32"/>
        <v>Friday</v>
      </c>
      <c r="K163" t="str">
        <f t="shared" si="33"/>
        <v>August</v>
      </c>
      <c r="L163" t="str">
        <f t="shared" ca="1" si="34"/>
        <v>0 YEAR 9 MONTH 14 DAY</v>
      </c>
      <c r="M163" t="str">
        <f t="shared" ca="1" si="35"/>
        <v xml:space="preserve">16 YEAR 2 MONTH 9 DAY </v>
      </c>
    </row>
    <row r="164" spans="1:13">
      <c r="A164" s="13">
        <f t="shared" ca="1" si="24"/>
        <v>45469</v>
      </c>
      <c r="B164">
        <f t="shared" ca="1" si="25"/>
        <v>6</v>
      </c>
      <c r="C164">
        <f t="shared" ca="1" si="26"/>
        <v>2024</v>
      </c>
      <c r="D164">
        <f t="shared" ca="1" si="27"/>
        <v>26</v>
      </c>
      <c r="E164" t="str">
        <f t="shared" ca="1" si="28"/>
        <v>Wednesday</v>
      </c>
      <c r="F164" s="12">
        <v>45878</v>
      </c>
      <c r="G164">
        <f t="shared" si="29"/>
        <v>9</v>
      </c>
      <c r="H164">
        <f t="shared" si="30"/>
        <v>8</v>
      </c>
      <c r="I164">
        <f t="shared" si="31"/>
        <v>2025</v>
      </c>
      <c r="J164" t="str">
        <f t="shared" si="32"/>
        <v>Saturday</v>
      </c>
      <c r="K164" t="str">
        <f t="shared" si="33"/>
        <v>August</v>
      </c>
      <c r="L164" t="str">
        <f t="shared" ca="1" si="34"/>
        <v>0 YEAR 9 MONTH 13 DAY</v>
      </c>
      <c r="M164" t="str">
        <f t="shared" ca="1" si="35"/>
        <v xml:space="preserve">1 YEAR 10 MONTH 26 DAY </v>
      </c>
    </row>
    <row r="165" spans="1:13">
      <c r="A165" s="13">
        <f t="shared" ca="1" si="24"/>
        <v>38660</v>
      </c>
      <c r="B165">
        <f t="shared" ca="1" si="25"/>
        <v>11</v>
      </c>
      <c r="C165">
        <f t="shared" ca="1" si="26"/>
        <v>2005</v>
      </c>
      <c r="D165">
        <f t="shared" ca="1" si="27"/>
        <v>4</v>
      </c>
      <c r="E165" t="str">
        <f t="shared" ca="1" si="28"/>
        <v>Friday</v>
      </c>
      <c r="F165" s="12">
        <v>45879</v>
      </c>
      <c r="G165">
        <f t="shared" si="29"/>
        <v>10</v>
      </c>
      <c r="H165">
        <f t="shared" si="30"/>
        <v>8</v>
      </c>
      <c r="I165">
        <f t="shared" si="31"/>
        <v>2025</v>
      </c>
      <c r="J165" t="str">
        <f t="shared" si="32"/>
        <v>Sunday</v>
      </c>
      <c r="K165" t="str">
        <f t="shared" si="33"/>
        <v>August</v>
      </c>
      <c r="L165" t="str">
        <f t="shared" ca="1" si="34"/>
        <v>0 YEAR 9 MONTH 12 DAY</v>
      </c>
      <c r="M165" t="str">
        <f t="shared" ca="1" si="35"/>
        <v xml:space="preserve">20 YEAR 6 MONTH 18 DAY </v>
      </c>
    </row>
    <row r="166" spans="1:13">
      <c r="A166" s="13">
        <f t="shared" ca="1" si="24"/>
        <v>42069</v>
      </c>
      <c r="B166">
        <f t="shared" ca="1" si="25"/>
        <v>3</v>
      </c>
      <c r="C166">
        <f t="shared" ca="1" si="26"/>
        <v>2015</v>
      </c>
      <c r="D166">
        <f t="shared" ca="1" si="27"/>
        <v>6</v>
      </c>
      <c r="E166" t="str">
        <f t="shared" ca="1" si="28"/>
        <v>Friday</v>
      </c>
      <c r="F166" s="12">
        <v>45880</v>
      </c>
      <c r="G166">
        <f t="shared" si="29"/>
        <v>11</v>
      </c>
      <c r="H166">
        <f t="shared" si="30"/>
        <v>8</v>
      </c>
      <c r="I166">
        <f t="shared" si="31"/>
        <v>2025</v>
      </c>
      <c r="J166" t="str">
        <f t="shared" si="32"/>
        <v>Monday</v>
      </c>
      <c r="K166" t="str">
        <f t="shared" si="33"/>
        <v>August</v>
      </c>
      <c r="L166" t="str">
        <f t="shared" ca="1" si="34"/>
        <v>0 YEAR 9 MONTH 11 DAY</v>
      </c>
      <c r="M166" t="str">
        <f t="shared" ca="1" si="35"/>
        <v xml:space="preserve">11 YEAR 2 MONTH 16 DAY </v>
      </c>
    </row>
    <row r="167" spans="1:13">
      <c r="A167" s="13">
        <f t="shared" ca="1" si="24"/>
        <v>42219</v>
      </c>
      <c r="B167">
        <f t="shared" ca="1" si="25"/>
        <v>8</v>
      </c>
      <c r="C167">
        <f t="shared" ca="1" si="26"/>
        <v>2015</v>
      </c>
      <c r="D167">
        <f t="shared" ca="1" si="27"/>
        <v>3</v>
      </c>
      <c r="E167" t="str">
        <f t="shared" ca="1" si="28"/>
        <v>Monday</v>
      </c>
      <c r="F167" s="12">
        <v>45881</v>
      </c>
      <c r="G167">
        <f t="shared" si="29"/>
        <v>12</v>
      </c>
      <c r="H167">
        <f t="shared" si="30"/>
        <v>8</v>
      </c>
      <c r="I167">
        <f t="shared" si="31"/>
        <v>2025</v>
      </c>
      <c r="J167" t="str">
        <f t="shared" si="32"/>
        <v>Tuesday</v>
      </c>
      <c r="K167" t="str">
        <f t="shared" si="33"/>
        <v>August</v>
      </c>
      <c r="L167" t="str">
        <f t="shared" ca="1" si="34"/>
        <v>0 YEAR 9 MONTH 10 DAY</v>
      </c>
      <c r="M167" t="str">
        <f t="shared" ca="1" si="35"/>
        <v xml:space="preserve">10 YEAR 9 MONTH 19 DAY </v>
      </c>
    </row>
    <row r="168" spans="1:13">
      <c r="A168" s="13">
        <f t="shared" ca="1" si="24"/>
        <v>39457</v>
      </c>
      <c r="B168">
        <f t="shared" ca="1" si="25"/>
        <v>1</v>
      </c>
      <c r="C168">
        <f t="shared" ca="1" si="26"/>
        <v>2008</v>
      </c>
      <c r="D168">
        <f t="shared" ca="1" si="27"/>
        <v>10</v>
      </c>
      <c r="E168" t="str">
        <f t="shared" ca="1" si="28"/>
        <v>Thursday</v>
      </c>
      <c r="F168" s="12">
        <v>45882</v>
      </c>
      <c r="G168">
        <f t="shared" si="29"/>
        <v>13</v>
      </c>
      <c r="H168">
        <f t="shared" si="30"/>
        <v>8</v>
      </c>
      <c r="I168">
        <f t="shared" si="31"/>
        <v>2025</v>
      </c>
      <c r="J168" t="str">
        <f t="shared" si="32"/>
        <v>Wednesday</v>
      </c>
      <c r="K168" t="str">
        <f t="shared" si="33"/>
        <v>August</v>
      </c>
      <c r="L168" t="str">
        <f t="shared" ca="1" si="34"/>
        <v>0 YEAR 9 MONTH 9 DAY</v>
      </c>
      <c r="M168" t="str">
        <f t="shared" ca="1" si="35"/>
        <v xml:space="preserve">18 YEAR 4 MONTH 12 DAY </v>
      </c>
    </row>
    <row r="169" spans="1:13">
      <c r="A169" s="13">
        <f t="shared" ca="1" si="24"/>
        <v>41948</v>
      </c>
      <c r="B169">
        <f t="shared" ca="1" si="25"/>
        <v>11</v>
      </c>
      <c r="C169">
        <f t="shared" ca="1" si="26"/>
        <v>2014</v>
      </c>
      <c r="D169">
        <f t="shared" ca="1" si="27"/>
        <v>5</v>
      </c>
      <c r="E169" t="str">
        <f t="shared" ca="1" si="28"/>
        <v>Wednesday</v>
      </c>
      <c r="F169" s="12">
        <v>45883</v>
      </c>
      <c r="G169">
        <f t="shared" si="29"/>
        <v>14</v>
      </c>
      <c r="H169">
        <f t="shared" si="30"/>
        <v>8</v>
      </c>
      <c r="I169">
        <f t="shared" si="31"/>
        <v>2025</v>
      </c>
      <c r="J169" t="str">
        <f t="shared" si="32"/>
        <v>Thursday</v>
      </c>
      <c r="K169" t="str">
        <f t="shared" si="33"/>
        <v>August</v>
      </c>
      <c r="L169" t="str">
        <f t="shared" ca="1" si="34"/>
        <v>0 YEAR 9 MONTH 8 DAY</v>
      </c>
      <c r="M169" t="str">
        <f t="shared" ca="1" si="35"/>
        <v xml:space="preserve">11 YEAR 6 MONTH 17 DAY </v>
      </c>
    </row>
    <row r="170" spans="1:13">
      <c r="A170" s="13">
        <f t="shared" ca="1" si="24"/>
        <v>44415</v>
      </c>
      <c r="B170">
        <f t="shared" ca="1" si="25"/>
        <v>8</v>
      </c>
      <c r="C170">
        <f t="shared" ca="1" si="26"/>
        <v>2021</v>
      </c>
      <c r="D170">
        <f t="shared" ca="1" si="27"/>
        <v>7</v>
      </c>
      <c r="E170" t="str">
        <f t="shared" ca="1" si="28"/>
        <v>Saturday</v>
      </c>
      <c r="F170" s="12">
        <v>45884</v>
      </c>
      <c r="G170">
        <f t="shared" si="29"/>
        <v>15</v>
      </c>
      <c r="H170">
        <f t="shared" si="30"/>
        <v>8</v>
      </c>
      <c r="I170">
        <f t="shared" si="31"/>
        <v>2025</v>
      </c>
      <c r="J170" t="str">
        <f t="shared" si="32"/>
        <v>Friday</v>
      </c>
      <c r="K170" t="str">
        <f t="shared" si="33"/>
        <v>August</v>
      </c>
      <c r="L170" t="str">
        <f t="shared" ca="1" si="34"/>
        <v>0 YEAR 9 MONTH 7 DAY</v>
      </c>
      <c r="M170" t="str">
        <f t="shared" ca="1" si="35"/>
        <v xml:space="preserve">4 YEAR 9 MONTH 15 DAY </v>
      </c>
    </row>
    <row r="171" spans="1:13">
      <c r="A171" s="13">
        <f t="shared" ca="1" si="24"/>
        <v>44684</v>
      </c>
      <c r="B171">
        <f t="shared" ca="1" si="25"/>
        <v>5</v>
      </c>
      <c r="C171">
        <f t="shared" ca="1" si="26"/>
        <v>2022</v>
      </c>
      <c r="D171">
        <f t="shared" ca="1" si="27"/>
        <v>3</v>
      </c>
      <c r="E171" t="str">
        <f t="shared" ca="1" si="28"/>
        <v>Tuesday</v>
      </c>
      <c r="F171" s="12">
        <v>45885</v>
      </c>
      <c r="G171">
        <f t="shared" si="29"/>
        <v>16</v>
      </c>
      <c r="H171">
        <f t="shared" si="30"/>
        <v>8</v>
      </c>
      <c r="I171">
        <f t="shared" si="31"/>
        <v>2025</v>
      </c>
      <c r="J171" t="str">
        <f t="shared" si="32"/>
        <v>Saturday</v>
      </c>
      <c r="K171" t="str">
        <f t="shared" si="33"/>
        <v>August</v>
      </c>
      <c r="L171" t="str">
        <f t="shared" ca="1" si="34"/>
        <v>0 YEAR 9 MONTH 6 DAY</v>
      </c>
      <c r="M171" t="str">
        <f t="shared" ca="1" si="35"/>
        <v xml:space="preserve">4 YEAR 0 MONTH 19 DAY </v>
      </c>
    </row>
    <row r="172" spans="1:13">
      <c r="A172" s="13">
        <f t="shared" ca="1" si="24"/>
        <v>38850</v>
      </c>
      <c r="B172">
        <f t="shared" ca="1" si="25"/>
        <v>5</v>
      </c>
      <c r="C172">
        <f t="shared" ca="1" si="26"/>
        <v>2006</v>
      </c>
      <c r="D172">
        <f t="shared" ca="1" si="27"/>
        <v>13</v>
      </c>
      <c r="E172" t="str">
        <f t="shared" ca="1" si="28"/>
        <v>Saturday</v>
      </c>
      <c r="F172" s="12">
        <v>45886</v>
      </c>
      <c r="G172">
        <f t="shared" si="29"/>
        <v>17</v>
      </c>
      <c r="H172">
        <f t="shared" si="30"/>
        <v>8</v>
      </c>
      <c r="I172">
        <f t="shared" si="31"/>
        <v>2025</v>
      </c>
      <c r="J172" t="str">
        <f t="shared" si="32"/>
        <v>Sunday</v>
      </c>
      <c r="K172" t="str">
        <f t="shared" si="33"/>
        <v>August</v>
      </c>
      <c r="L172" t="str">
        <f t="shared" ca="1" si="34"/>
        <v>0 YEAR 9 MONTH 5 DAY</v>
      </c>
      <c r="M172" t="str">
        <f t="shared" ca="1" si="35"/>
        <v xml:space="preserve">20 YEAR 0 MONTH 9 DAY </v>
      </c>
    </row>
    <row r="173" spans="1:13">
      <c r="A173" s="13">
        <f t="shared" ca="1" si="24"/>
        <v>39581</v>
      </c>
      <c r="B173">
        <f t="shared" ca="1" si="25"/>
        <v>5</v>
      </c>
      <c r="C173">
        <f t="shared" ca="1" si="26"/>
        <v>2008</v>
      </c>
      <c r="D173">
        <f t="shared" ca="1" si="27"/>
        <v>13</v>
      </c>
      <c r="E173" t="str">
        <f t="shared" ca="1" si="28"/>
        <v>Tuesday</v>
      </c>
      <c r="F173" s="12">
        <v>45887</v>
      </c>
      <c r="G173">
        <f t="shared" si="29"/>
        <v>18</v>
      </c>
      <c r="H173">
        <f t="shared" si="30"/>
        <v>8</v>
      </c>
      <c r="I173">
        <f t="shared" si="31"/>
        <v>2025</v>
      </c>
      <c r="J173" t="str">
        <f t="shared" si="32"/>
        <v>Monday</v>
      </c>
      <c r="K173" t="str">
        <f t="shared" si="33"/>
        <v>August</v>
      </c>
      <c r="L173" t="str">
        <f t="shared" ca="1" si="34"/>
        <v>0 YEAR 9 MONTH 4 DAY</v>
      </c>
      <c r="M173" t="str">
        <f t="shared" ca="1" si="35"/>
        <v xml:space="preserve">18 YEAR 0 MONTH 9 DAY </v>
      </c>
    </row>
    <row r="174" spans="1:13">
      <c r="A174" s="13">
        <f t="shared" ca="1" si="24"/>
        <v>46129</v>
      </c>
      <c r="B174">
        <f t="shared" ca="1" si="25"/>
        <v>4</v>
      </c>
      <c r="C174">
        <f t="shared" ca="1" si="26"/>
        <v>2026</v>
      </c>
      <c r="D174">
        <f t="shared" ca="1" si="27"/>
        <v>17</v>
      </c>
      <c r="E174" t="str">
        <f t="shared" ca="1" si="28"/>
        <v>Friday</v>
      </c>
      <c r="F174" s="12">
        <v>45888</v>
      </c>
      <c r="G174">
        <f t="shared" si="29"/>
        <v>19</v>
      </c>
      <c r="H174">
        <f t="shared" si="30"/>
        <v>8</v>
      </c>
      <c r="I174">
        <f t="shared" si="31"/>
        <v>2025</v>
      </c>
      <c r="J174" t="str">
        <f t="shared" si="32"/>
        <v>Tuesday</v>
      </c>
      <c r="K174" t="str">
        <f t="shared" si="33"/>
        <v>August</v>
      </c>
      <c r="L174" t="str">
        <f t="shared" ca="1" si="34"/>
        <v>0 YEAR 9 MONTH 3 DAY</v>
      </c>
      <c r="M174" t="str">
        <f t="shared" ca="1" si="35"/>
        <v xml:space="preserve">0 YEAR 1 MONTH 5 DAY </v>
      </c>
    </row>
    <row r="175" spans="1:13">
      <c r="A175" s="13">
        <f t="shared" ca="1" si="24"/>
        <v>44787</v>
      </c>
      <c r="B175">
        <f t="shared" ca="1" si="25"/>
        <v>8</v>
      </c>
      <c r="C175">
        <f t="shared" ca="1" si="26"/>
        <v>2022</v>
      </c>
      <c r="D175">
        <f t="shared" ca="1" si="27"/>
        <v>14</v>
      </c>
      <c r="E175" t="str">
        <f t="shared" ca="1" si="28"/>
        <v>Sunday</v>
      </c>
      <c r="F175" s="12">
        <v>45889</v>
      </c>
      <c r="G175">
        <f t="shared" si="29"/>
        <v>20</v>
      </c>
      <c r="H175">
        <f t="shared" si="30"/>
        <v>8</v>
      </c>
      <c r="I175">
        <f t="shared" si="31"/>
        <v>2025</v>
      </c>
      <c r="J175" t="str">
        <f t="shared" si="32"/>
        <v>Wednesday</v>
      </c>
      <c r="K175" t="str">
        <f t="shared" si="33"/>
        <v>August</v>
      </c>
      <c r="L175" t="str">
        <f t="shared" ca="1" si="34"/>
        <v>0 YEAR 9 MONTH 2 DAY</v>
      </c>
      <c r="M175" t="str">
        <f t="shared" ca="1" si="35"/>
        <v xml:space="preserve">3 YEAR 9 MONTH 8 DAY </v>
      </c>
    </row>
    <row r="176" spans="1:13">
      <c r="A176" s="13">
        <f t="shared" ca="1" si="24"/>
        <v>39021</v>
      </c>
      <c r="B176">
        <f t="shared" ca="1" si="25"/>
        <v>10</v>
      </c>
      <c r="C176">
        <f t="shared" ca="1" si="26"/>
        <v>2006</v>
      </c>
      <c r="D176">
        <f t="shared" ca="1" si="27"/>
        <v>31</v>
      </c>
      <c r="E176" t="str">
        <f t="shared" ca="1" si="28"/>
        <v>Tuesday</v>
      </c>
      <c r="F176" s="12">
        <v>45890</v>
      </c>
      <c r="G176">
        <f t="shared" si="29"/>
        <v>21</v>
      </c>
      <c r="H176">
        <f t="shared" si="30"/>
        <v>8</v>
      </c>
      <c r="I176">
        <f t="shared" si="31"/>
        <v>2025</v>
      </c>
      <c r="J176" t="str">
        <f t="shared" si="32"/>
        <v>Thursday</v>
      </c>
      <c r="K176" t="str">
        <f t="shared" si="33"/>
        <v>August</v>
      </c>
      <c r="L176" t="str">
        <f t="shared" ca="1" si="34"/>
        <v>0 YEAR 9 MONTH 1 DAY</v>
      </c>
      <c r="M176" t="str">
        <f t="shared" ca="1" si="35"/>
        <v xml:space="preserve">19 YEAR 6 MONTH 21 DAY </v>
      </c>
    </row>
    <row r="177" spans="1:13">
      <c r="A177" s="13">
        <f t="shared" ca="1" si="24"/>
        <v>44245</v>
      </c>
      <c r="B177">
        <f t="shared" ca="1" si="25"/>
        <v>2</v>
      </c>
      <c r="C177">
        <f t="shared" ca="1" si="26"/>
        <v>2021</v>
      </c>
      <c r="D177">
        <f t="shared" ca="1" si="27"/>
        <v>18</v>
      </c>
      <c r="E177" t="str">
        <f t="shared" ca="1" si="28"/>
        <v>Thursday</v>
      </c>
      <c r="F177" s="12">
        <v>45891</v>
      </c>
      <c r="G177">
        <f t="shared" si="29"/>
        <v>22</v>
      </c>
      <c r="H177">
        <f t="shared" si="30"/>
        <v>8</v>
      </c>
      <c r="I177">
        <f t="shared" si="31"/>
        <v>2025</v>
      </c>
      <c r="J177" t="str">
        <f t="shared" si="32"/>
        <v>Friday</v>
      </c>
      <c r="K177" t="str">
        <f t="shared" si="33"/>
        <v>August</v>
      </c>
      <c r="L177" t="str">
        <f t="shared" ca="1" si="34"/>
        <v>0 YEAR 9 MONTH 0 DAY</v>
      </c>
      <c r="M177" t="str">
        <f t="shared" ca="1" si="35"/>
        <v xml:space="preserve">5 YEAR 3 MONTH 4 DAY </v>
      </c>
    </row>
    <row r="178" spans="1:13">
      <c r="A178" s="13">
        <f t="shared" ca="1" si="24"/>
        <v>40239</v>
      </c>
      <c r="B178">
        <f t="shared" ca="1" si="25"/>
        <v>3</v>
      </c>
      <c r="C178">
        <f t="shared" ca="1" si="26"/>
        <v>2010</v>
      </c>
      <c r="D178">
        <f t="shared" ca="1" si="27"/>
        <v>2</v>
      </c>
      <c r="E178" t="str">
        <f t="shared" ca="1" si="28"/>
        <v>Tuesday</v>
      </c>
      <c r="F178" s="12">
        <v>45892</v>
      </c>
      <c r="G178">
        <f t="shared" si="29"/>
        <v>23</v>
      </c>
      <c r="H178">
        <f t="shared" si="30"/>
        <v>8</v>
      </c>
      <c r="I178">
        <f t="shared" si="31"/>
        <v>2025</v>
      </c>
      <c r="J178" t="str">
        <f t="shared" si="32"/>
        <v>Saturday</v>
      </c>
      <c r="K178" t="str">
        <f t="shared" si="33"/>
        <v>August</v>
      </c>
      <c r="L178" t="str">
        <f t="shared" ca="1" si="34"/>
        <v>0 YEAR 8 MONTH 29 DAY</v>
      </c>
      <c r="M178" t="str">
        <f t="shared" ca="1" si="35"/>
        <v xml:space="preserve">16 YEAR 2 MONTH 20 DAY </v>
      </c>
    </row>
    <row r="179" spans="1:13">
      <c r="A179" s="13">
        <f t="shared" ca="1" si="24"/>
        <v>44474</v>
      </c>
      <c r="B179">
        <f t="shared" ca="1" si="25"/>
        <v>10</v>
      </c>
      <c r="C179">
        <f t="shared" ca="1" si="26"/>
        <v>2021</v>
      </c>
      <c r="D179">
        <f t="shared" ca="1" si="27"/>
        <v>5</v>
      </c>
      <c r="E179" t="str">
        <f t="shared" ca="1" si="28"/>
        <v>Tuesday</v>
      </c>
      <c r="F179" s="12">
        <v>45893</v>
      </c>
      <c r="G179">
        <f t="shared" si="29"/>
        <v>24</v>
      </c>
      <c r="H179">
        <f t="shared" si="30"/>
        <v>8</v>
      </c>
      <c r="I179">
        <f t="shared" si="31"/>
        <v>2025</v>
      </c>
      <c r="J179" t="str">
        <f t="shared" si="32"/>
        <v>Sunday</v>
      </c>
      <c r="K179" t="str">
        <f t="shared" si="33"/>
        <v>August</v>
      </c>
      <c r="L179" t="str">
        <f t="shared" ca="1" si="34"/>
        <v>0 YEAR 8 MONTH 28 DAY</v>
      </c>
      <c r="M179" t="str">
        <f t="shared" ca="1" si="35"/>
        <v xml:space="preserve">4 YEAR 7 MONTH 17 DAY </v>
      </c>
    </row>
    <row r="180" spans="1:13">
      <c r="A180" s="13">
        <f t="shared" ca="1" si="24"/>
        <v>38373</v>
      </c>
      <c r="B180">
        <f t="shared" ca="1" si="25"/>
        <v>1</v>
      </c>
      <c r="C180">
        <f t="shared" ca="1" si="26"/>
        <v>2005</v>
      </c>
      <c r="D180">
        <f t="shared" ca="1" si="27"/>
        <v>21</v>
      </c>
      <c r="E180" t="str">
        <f t="shared" ca="1" si="28"/>
        <v>Friday</v>
      </c>
      <c r="F180" s="12">
        <v>45894</v>
      </c>
      <c r="G180">
        <f t="shared" si="29"/>
        <v>25</v>
      </c>
      <c r="H180">
        <f t="shared" si="30"/>
        <v>8</v>
      </c>
      <c r="I180">
        <f t="shared" si="31"/>
        <v>2025</v>
      </c>
      <c r="J180" t="str">
        <f t="shared" si="32"/>
        <v>Monday</v>
      </c>
      <c r="K180" t="str">
        <f t="shared" si="33"/>
        <v>August</v>
      </c>
      <c r="L180" t="str">
        <f t="shared" ca="1" si="34"/>
        <v>0 YEAR 8 MONTH 27 DAY</v>
      </c>
      <c r="M180" t="str">
        <f t="shared" ca="1" si="35"/>
        <v xml:space="preserve">21 YEAR 4 MONTH 1 DAY </v>
      </c>
    </row>
    <row r="181" spans="1:13">
      <c r="A181" s="13">
        <f t="shared" ca="1" si="24"/>
        <v>45918</v>
      </c>
      <c r="B181">
        <f t="shared" ca="1" si="25"/>
        <v>9</v>
      </c>
      <c r="C181">
        <f t="shared" ca="1" si="26"/>
        <v>2025</v>
      </c>
      <c r="D181">
        <f t="shared" ca="1" si="27"/>
        <v>18</v>
      </c>
      <c r="E181" t="str">
        <f t="shared" ca="1" si="28"/>
        <v>Thursday</v>
      </c>
      <c r="F181" s="12">
        <v>45895</v>
      </c>
      <c r="G181">
        <f t="shared" si="29"/>
        <v>26</v>
      </c>
      <c r="H181">
        <f t="shared" si="30"/>
        <v>8</v>
      </c>
      <c r="I181">
        <f t="shared" si="31"/>
        <v>2025</v>
      </c>
      <c r="J181" t="str">
        <f t="shared" si="32"/>
        <v>Tuesday</v>
      </c>
      <c r="K181" t="str">
        <f t="shared" si="33"/>
        <v>August</v>
      </c>
      <c r="L181" t="str">
        <f t="shared" ca="1" si="34"/>
        <v>0 YEAR 8 MONTH 26 DAY</v>
      </c>
      <c r="M181" t="str">
        <f t="shared" ca="1" si="35"/>
        <v xml:space="preserve">0 YEAR 8 MONTH 4 DAY </v>
      </c>
    </row>
    <row r="182" spans="1:13">
      <c r="A182" s="13">
        <f t="shared" ca="1" si="24"/>
        <v>37929</v>
      </c>
      <c r="B182">
        <f t="shared" ca="1" si="25"/>
        <v>11</v>
      </c>
      <c r="C182">
        <f t="shared" ca="1" si="26"/>
        <v>2003</v>
      </c>
      <c r="D182">
        <f t="shared" ca="1" si="27"/>
        <v>4</v>
      </c>
      <c r="E182" t="str">
        <f t="shared" ca="1" si="28"/>
        <v>Tuesday</v>
      </c>
      <c r="F182" s="12">
        <v>45896</v>
      </c>
      <c r="G182">
        <f t="shared" si="29"/>
        <v>27</v>
      </c>
      <c r="H182">
        <f t="shared" si="30"/>
        <v>8</v>
      </c>
      <c r="I182">
        <f t="shared" si="31"/>
        <v>2025</v>
      </c>
      <c r="J182" t="str">
        <f t="shared" si="32"/>
        <v>Wednesday</v>
      </c>
      <c r="K182" t="str">
        <f t="shared" si="33"/>
        <v>August</v>
      </c>
      <c r="L182" t="str">
        <f t="shared" ca="1" si="34"/>
        <v>0 YEAR 8 MONTH 25 DAY</v>
      </c>
      <c r="M182" t="str">
        <f t="shared" ca="1" si="35"/>
        <v xml:space="preserve">22 YEAR 6 MONTH 18 DAY </v>
      </c>
    </row>
    <row r="183" spans="1:13">
      <c r="A183" s="13">
        <f t="shared" ca="1" si="24"/>
        <v>44223</v>
      </c>
      <c r="B183">
        <f t="shared" ca="1" si="25"/>
        <v>1</v>
      </c>
      <c r="C183">
        <f t="shared" ca="1" si="26"/>
        <v>2021</v>
      </c>
      <c r="D183">
        <f t="shared" ca="1" si="27"/>
        <v>27</v>
      </c>
      <c r="E183" t="str">
        <f t="shared" ca="1" si="28"/>
        <v>Wednesday</v>
      </c>
      <c r="F183" s="12">
        <v>45897</v>
      </c>
      <c r="G183">
        <f t="shared" si="29"/>
        <v>28</v>
      </c>
      <c r="H183">
        <f t="shared" si="30"/>
        <v>8</v>
      </c>
      <c r="I183">
        <f t="shared" si="31"/>
        <v>2025</v>
      </c>
      <c r="J183" t="str">
        <f t="shared" si="32"/>
        <v>Thursday</v>
      </c>
      <c r="K183" t="str">
        <f t="shared" si="33"/>
        <v>August</v>
      </c>
      <c r="L183" t="str">
        <f t="shared" ca="1" si="34"/>
        <v>0 YEAR 8 MONTH 24 DAY</v>
      </c>
      <c r="M183" t="str">
        <f t="shared" ca="1" si="35"/>
        <v xml:space="preserve">5 YEAR 3 MONTH 25 DAY </v>
      </c>
    </row>
    <row r="184" spans="1:13">
      <c r="A184" s="13">
        <f t="shared" ca="1" si="24"/>
        <v>40723</v>
      </c>
      <c r="B184">
        <f t="shared" ca="1" si="25"/>
        <v>6</v>
      </c>
      <c r="C184">
        <f t="shared" ca="1" si="26"/>
        <v>2011</v>
      </c>
      <c r="D184">
        <f t="shared" ca="1" si="27"/>
        <v>29</v>
      </c>
      <c r="E184" t="str">
        <f t="shared" ca="1" si="28"/>
        <v>Wednesday</v>
      </c>
      <c r="F184" s="12">
        <v>45898</v>
      </c>
      <c r="G184">
        <f t="shared" si="29"/>
        <v>29</v>
      </c>
      <c r="H184">
        <f t="shared" si="30"/>
        <v>8</v>
      </c>
      <c r="I184">
        <f t="shared" si="31"/>
        <v>2025</v>
      </c>
      <c r="J184" t="str">
        <f t="shared" si="32"/>
        <v>Friday</v>
      </c>
      <c r="K184" t="str">
        <f t="shared" si="33"/>
        <v>August</v>
      </c>
      <c r="L184" t="str">
        <f t="shared" ca="1" si="34"/>
        <v>0 YEAR 8 MONTH 23 DAY</v>
      </c>
      <c r="M184" t="str">
        <f t="shared" ca="1" si="35"/>
        <v xml:space="preserve">14 YEAR 10 MONTH 23 DAY </v>
      </c>
    </row>
    <row r="185" spans="1:13">
      <c r="A185" s="13">
        <f t="shared" ca="1" si="24"/>
        <v>44498</v>
      </c>
      <c r="B185">
        <f t="shared" ca="1" si="25"/>
        <v>10</v>
      </c>
      <c r="C185">
        <f t="shared" ca="1" si="26"/>
        <v>2021</v>
      </c>
      <c r="D185">
        <f t="shared" ca="1" si="27"/>
        <v>29</v>
      </c>
      <c r="E185" t="str">
        <f t="shared" ca="1" si="28"/>
        <v>Friday</v>
      </c>
      <c r="F185" s="12">
        <v>45899</v>
      </c>
      <c r="G185">
        <f t="shared" si="29"/>
        <v>30</v>
      </c>
      <c r="H185">
        <f t="shared" si="30"/>
        <v>8</v>
      </c>
      <c r="I185">
        <f t="shared" si="31"/>
        <v>2025</v>
      </c>
      <c r="J185" t="str">
        <f t="shared" si="32"/>
        <v>Saturday</v>
      </c>
      <c r="K185" t="str">
        <f t="shared" si="33"/>
        <v>August</v>
      </c>
      <c r="L185" t="str">
        <f t="shared" ca="1" si="34"/>
        <v>0 YEAR 8 MONTH 22 DAY</v>
      </c>
      <c r="M185" t="str">
        <f t="shared" ca="1" si="35"/>
        <v xml:space="preserve">4 YEAR 6 MONTH 23 DAY </v>
      </c>
    </row>
    <row r="186" spans="1:13">
      <c r="A186" s="13">
        <f t="shared" ca="1" si="24"/>
        <v>41501</v>
      </c>
      <c r="B186">
        <f t="shared" ca="1" si="25"/>
        <v>8</v>
      </c>
      <c r="C186">
        <f t="shared" ca="1" si="26"/>
        <v>2013</v>
      </c>
      <c r="D186">
        <f t="shared" ca="1" si="27"/>
        <v>15</v>
      </c>
      <c r="E186" t="str">
        <f t="shared" ca="1" si="28"/>
        <v>Thursday</v>
      </c>
      <c r="F186" s="12">
        <v>45900</v>
      </c>
      <c r="G186">
        <f t="shared" si="29"/>
        <v>31</v>
      </c>
      <c r="H186">
        <f t="shared" si="30"/>
        <v>8</v>
      </c>
      <c r="I186">
        <f t="shared" si="31"/>
        <v>2025</v>
      </c>
      <c r="J186" t="str">
        <f t="shared" si="32"/>
        <v>Sunday</v>
      </c>
      <c r="K186" t="str">
        <f t="shared" si="33"/>
        <v>August</v>
      </c>
      <c r="L186" t="str">
        <f t="shared" ca="1" si="34"/>
        <v>0 YEAR 8 MONTH 21 DAY</v>
      </c>
      <c r="M186" t="str">
        <f t="shared" ca="1" si="35"/>
        <v xml:space="preserve">12 YEAR 9 MONTH 7 DAY </v>
      </c>
    </row>
    <row r="187" spans="1:13">
      <c r="A187" s="13">
        <f t="shared" ca="1" si="24"/>
        <v>44382</v>
      </c>
      <c r="B187">
        <f t="shared" ca="1" si="25"/>
        <v>7</v>
      </c>
      <c r="C187">
        <f t="shared" ca="1" si="26"/>
        <v>2021</v>
      </c>
      <c r="D187">
        <f t="shared" ca="1" si="27"/>
        <v>5</v>
      </c>
      <c r="E187" t="str">
        <f t="shared" ca="1" si="28"/>
        <v>Monday</v>
      </c>
      <c r="F187" s="12">
        <v>45901</v>
      </c>
      <c r="G187">
        <f t="shared" si="29"/>
        <v>1</v>
      </c>
      <c r="H187">
        <f t="shared" si="30"/>
        <v>9</v>
      </c>
      <c r="I187">
        <f t="shared" si="31"/>
        <v>2025</v>
      </c>
      <c r="J187" t="str">
        <f t="shared" si="32"/>
        <v>Monday</v>
      </c>
      <c r="K187" t="str">
        <f t="shared" si="33"/>
        <v>September</v>
      </c>
      <c r="L187" t="str">
        <f t="shared" ca="1" si="34"/>
        <v>0 YEAR 8 MONTH 21 DAY</v>
      </c>
      <c r="M187" t="str">
        <f t="shared" ca="1" si="35"/>
        <v xml:space="preserve">4 YEAR 10 MONTH 17 DAY </v>
      </c>
    </row>
    <row r="188" spans="1:13">
      <c r="A188" s="13">
        <f t="shared" ca="1" si="24"/>
        <v>44375</v>
      </c>
      <c r="B188">
        <f t="shared" ca="1" si="25"/>
        <v>6</v>
      </c>
      <c r="C188">
        <f t="shared" ca="1" si="26"/>
        <v>2021</v>
      </c>
      <c r="D188">
        <f t="shared" ca="1" si="27"/>
        <v>28</v>
      </c>
      <c r="E188" t="str">
        <f t="shared" ca="1" si="28"/>
        <v>Monday</v>
      </c>
      <c r="F188" s="12">
        <v>45902</v>
      </c>
      <c r="G188">
        <f t="shared" si="29"/>
        <v>2</v>
      </c>
      <c r="H188">
        <f t="shared" si="30"/>
        <v>9</v>
      </c>
      <c r="I188">
        <f t="shared" si="31"/>
        <v>2025</v>
      </c>
      <c r="J188" t="str">
        <f t="shared" si="32"/>
        <v>Tuesday</v>
      </c>
      <c r="K188" t="str">
        <f t="shared" si="33"/>
        <v>September</v>
      </c>
      <c r="L188" t="str">
        <f t="shared" ca="1" si="34"/>
        <v>0 YEAR 8 MONTH 20 DAY</v>
      </c>
      <c r="M188" t="str">
        <f t="shared" ca="1" si="35"/>
        <v xml:space="preserve">4 YEAR 10 MONTH 24 DAY </v>
      </c>
    </row>
    <row r="189" spans="1:13">
      <c r="A189" s="13">
        <f t="shared" ca="1" si="24"/>
        <v>44768</v>
      </c>
      <c r="B189">
        <f t="shared" ca="1" si="25"/>
        <v>7</v>
      </c>
      <c r="C189">
        <f t="shared" ca="1" si="26"/>
        <v>2022</v>
      </c>
      <c r="D189">
        <f t="shared" ca="1" si="27"/>
        <v>26</v>
      </c>
      <c r="E189" t="str">
        <f t="shared" ca="1" si="28"/>
        <v>Tuesday</v>
      </c>
      <c r="F189" s="12">
        <v>45903</v>
      </c>
      <c r="G189">
        <f t="shared" si="29"/>
        <v>3</v>
      </c>
      <c r="H189">
        <f t="shared" si="30"/>
        <v>9</v>
      </c>
      <c r="I189">
        <f t="shared" si="31"/>
        <v>2025</v>
      </c>
      <c r="J189" t="str">
        <f t="shared" si="32"/>
        <v>Wednesday</v>
      </c>
      <c r="K189" t="str">
        <f t="shared" si="33"/>
        <v>September</v>
      </c>
      <c r="L189" t="str">
        <f t="shared" ca="1" si="34"/>
        <v>0 YEAR 8 MONTH 19 DAY</v>
      </c>
      <c r="M189" t="str">
        <f t="shared" ca="1" si="35"/>
        <v xml:space="preserve">3 YEAR 9 MONTH 26 DAY </v>
      </c>
    </row>
    <row r="190" spans="1:13">
      <c r="A190" s="13">
        <f t="shared" ca="1" si="24"/>
        <v>42075</v>
      </c>
      <c r="B190">
        <f t="shared" ca="1" si="25"/>
        <v>3</v>
      </c>
      <c r="C190">
        <f t="shared" ca="1" si="26"/>
        <v>2015</v>
      </c>
      <c r="D190">
        <f t="shared" ca="1" si="27"/>
        <v>12</v>
      </c>
      <c r="E190" t="str">
        <f t="shared" ca="1" si="28"/>
        <v>Thursday</v>
      </c>
      <c r="F190" s="12">
        <v>45904</v>
      </c>
      <c r="G190">
        <f t="shared" si="29"/>
        <v>4</v>
      </c>
      <c r="H190">
        <f t="shared" si="30"/>
        <v>9</v>
      </c>
      <c r="I190">
        <f t="shared" si="31"/>
        <v>2025</v>
      </c>
      <c r="J190" t="str">
        <f t="shared" si="32"/>
        <v>Thursday</v>
      </c>
      <c r="K190" t="str">
        <f t="shared" si="33"/>
        <v>September</v>
      </c>
      <c r="L190" t="str">
        <f t="shared" ca="1" si="34"/>
        <v>0 YEAR 8 MONTH 18 DAY</v>
      </c>
      <c r="M190" t="str">
        <f t="shared" ca="1" si="35"/>
        <v xml:space="preserve">11 YEAR 2 MONTH 10 DAY </v>
      </c>
    </row>
    <row r="191" spans="1:13">
      <c r="A191" s="13">
        <f t="shared" ca="1" si="24"/>
        <v>42292</v>
      </c>
      <c r="B191">
        <f t="shared" ca="1" si="25"/>
        <v>10</v>
      </c>
      <c r="C191">
        <f t="shared" ca="1" si="26"/>
        <v>2015</v>
      </c>
      <c r="D191">
        <f t="shared" ca="1" si="27"/>
        <v>15</v>
      </c>
      <c r="E191" t="str">
        <f t="shared" ca="1" si="28"/>
        <v>Thursday</v>
      </c>
      <c r="F191" s="12">
        <v>45905</v>
      </c>
      <c r="G191">
        <f t="shared" si="29"/>
        <v>5</v>
      </c>
      <c r="H191">
        <f t="shared" si="30"/>
        <v>9</v>
      </c>
      <c r="I191">
        <f t="shared" si="31"/>
        <v>2025</v>
      </c>
      <c r="J191" t="str">
        <f t="shared" si="32"/>
        <v>Friday</v>
      </c>
      <c r="K191" t="str">
        <f t="shared" si="33"/>
        <v>September</v>
      </c>
      <c r="L191" t="str">
        <f t="shared" ca="1" si="34"/>
        <v>0 YEAR 8 MONTH 17 DAY</v>
      </c>
      <c r="M191" t="str">
        <f t="shared" ca="1" si="35"/>
        <v xml:space="preserve">10 YEAR 7 MONTH 7 DAY </v>
      </c>
    </row>
    <row r="192" spans="1:13">
      <c r="A192" s="13">
        <f t="shared" ca="1" si="24"/>
        <v>40078</v>
      </c>
      <c r="B192">
        <f t="shared" ca="1" si="25"/>
        <v>9</v>
      </c>
      <c r="C192">
        <f t="shared" ca="1" si="26"/>
        <v>2009</v>
      </c>
      <c r="D192">
        <f t="shared" ca="1" si="27"/>
        <v>22</v>
      </c>
      <c r="E192" t="str">
        <f t="shared" ca="1" si="28"/>
        <v>Tuesday</v>
      </c>
      <c r="F192" s="12">
        <v>45906</v>
      </c>
      <c r="G192">
        <f t="shared" si="29"/>
        <v>6</v>
      </c>
      <c r="H192">
        <f t="shared" si="30"/>
        <v>9</v>
      </c>
      <c r="I192">
        <f t="shared" si="31"/>
        <v>2025</v>
      </c>
      <c r="J192" t="str">
        <f t="shared" si="32"/>
        <v>Saturday</v>
      </c>
      <c r="K192" t="str">
        <f t="shared" si="33"/>
        <v>September</v>
      </c>
      <c r="L192" t="str">
        <f t="shared" ca="1" si="34"/>
        <v>0 YEAR 8 MONTH 16 DAY</v>
      </c>
      <c r="M192" t="str">
        <f t="shared" ca="1" si="35"/>
        <v xml:space="preserve">16 YEAR 8 MONTH 0 DAY </v>
      </c>
    </row>
    <row r="193" spans="1:13">
      <c r="A193" s="13">
        <f t="shared" ca="1" si="24"/>
        <v>44289</v>
      </c>
      <c r="B193">
        <f t="shared" ca="1" si="25"/>
        <v>4</v>
      </c>
      <c r="C193">
        <f t="shared" ca="1" si="26"/>
        <v>2021</v>
      </c>
      <c r="D193">
        <f t="shared" ca="1" si="27"/>
        <v>3</v>
      </c>
      <c r="E193" t="str">
        <f t="shared" ca="1" si="28"/>
        <v>Saturday</v>
      </c>
      <c r="F193" s="12">
        <v>45907</v>
      </c>
      <c r="G193">
        <f t="shared" si="29"/>
        <v>7</v>
      </c>
      <c r="H193">
        <f t="shared" si="30"/>
        <v>9</v>
      </c>
      <c r="I193">
        <f t="shared" si="31"/>
        <v>2025</v>
      </c>
      <c r="J193" t="str">
        <f t="shared" si="32"/>
        <v>Sunday</v>
      </c>
      <c r="K193" t="str">
        <f t="shared" si="33"/>
        <v>September</v>
      </c>
      <c r="L193" t="str">
        <f t="shared" ca="1" si="34"/>
        <v>0 YEAR 8 MONTH 15 DAY</v>
      </c>
      <c r="M193" t="str">
        <f t="shared" ca="1" si="35"/>
        <v xml:space="preserve">5 YEAR 1 MONTH 19 DAY </v>
      </c>
    </row>
    <row r="194" spans="1:13">
      <c r="A194" s="13">
        <f t="shared" ca="1" si="24"/>
        <v>40685</v>
      </c>
      <c r="B194">
        <f t="shared" ca="1" si="25"/>
        <v>5</v>
      </c>
      <c r="C194">
        <f t="shared" ca="1" si="26"/>
        <v>2011</v>
      </c>
      <c r="D194">
        <f t="shared" ca="1" si="27"/>
        <v>22</v>
      </c>
      <c r="E194" t="str">
        <f t="shared" ca="1" si="28"/>
        <v>Sunday</v>
      </c>
      <c r="F194" s="12">
        <v>45908</v>
      </c>
      <c r="G194">
        <f t="shared" si="29"/>
        <v>8</v>
      </c>
      <c r="H194">
        <f t="shared" si="30"/>
        <v>9</v>
      </c>
      <c r="I194">
        <f t="shared" si="31"/>
        <v>2025</v>
      </c>
      <c r="J194" t="str">
        <f t="shared" si="32"/>
        <v>Monday</v>
      </c>
      <c r="K194" t="str">
        <f t="shared" si="33"/>
        <v>September</v>
      </c>
      <c r="L194" t="str">
        <f t="shared" ca="1" si="34"/>
        <v>0 YEAR 8 MONTH 14 DAY</v>
      </c>
      <c r="M194" t="str">
        <f t="shared" ca="1" si="35"/>
        <v xml:space="preserve">15 YEAR 0 MONTH 0 DAY </v>
      </c>
    </row>
    <row r="195" spans="1:13">
      <c r="A195" s="13">
        <f t="shared" ref="A195:A258" ca="1" si="36">RANDBETWEEN(DATE(2003,7,23),TODAY())</f>
        <v>45479</v>
      </c>
      <c r="B195">
        <f t="shared" ref="B195:B258" ca="1" si="37">MONTH(A195)</f>
        <v>7</v>
      </c>
      <c r="C195">
        <f t="shared" ref="C195:C206" ca="1" si="38">YEAR(A195)</f>
        <v>2024</v>
      </c>
      <c r="D195">
        <f t="shared" ref="D195:D206" ca="1" si="39">DAY(A195)</f>
        <v>6</v>
      </c>
      <c r="E195" t="str">
        <f t="shared" ref="E195:E206" ca="1" si="40">TEXT(A195,"dddd")</f>
        <v>Saturday</v>
      </c>
      <c r="F195" s="12">
        <v>45909</v>
      </c>
      <c r="G195">
        <f t="shared" ref="G195:G258" si="41">DAY(F195)</f>
        <v>9</v>
      </c>
      <c r="H195">
        <f t="shared" ref="H195:H258" si="42">MONTH(F195)</f>
        <v>9</v>
      </c>
      <c r="I195">
        <f t="shared" ref="I195:I258" si="43">YEAR(F195)</f>
        <v>2025</v>
      </c>
      <c r="J195" t="str">
        <f t="shared" ref="J195:J258" si="44">TEXT(F195,"dddd")</f>
        <v>Tuesday</v>
      </c>
      <c r="K195" t="str">
        <f t="shared" ref="K195:K258" si="45">TEXT(F195,"mmmm")</f>
        <v>September</v>
      </c>
      <c r="L195" t="str">
        <f t="shared" ref="L195:L258" ca="1" si="46">DATEDIF(F195,TODAY(),"Y")&amp;" YEAR "&amp;DATEDIF(F195,TODAY(),"YM")&amp;" MONTH "&amp;DATEDIF(F195,TODAY(),"MD")&amp;" DAY"</f>
        <v>0 YEAR 8 MONTH 13 DAY</v>
      </c>
      <c r="M195" t="str">
        <f t="shared" ref="M195:M258" ca="1" si="47">DATEDIF(A195,TODAY(),"Y")&amp;" YEAR "&amp;DATEDIF(A195,TODAY(),"YM")&amp;" MONTH "&amp;DATEDIF(A195,TODAY(),"MD")&amp;" DAY "</f>
        <v xml:space="preserve">1 YEAR 10 MONTH 16 DAY </v>
      </c>
    </row>
    <row r="196" spans="1:13">
      <c r="A196" s="13">
        <f t="shared" ca="1" si="36"/>
        <v>44708</v>
      </c>
      <c r="B196">
        <f t="shared" ca="1" si="37"/>
        <v>5</v>
      </c>
      <c r="C196">
        <f t="shared" ca="1" si="38"/>
        <v>2022</v>
      </c>
      <c r="D196">
        <f t="shared" ca="1" si="39"/>
        <v>27</v>
      </c>
      <c r="E196" t="str">
        <f t="shared" ca="1" si="40"/>
        <v>Friday</v>
      </c>
      <c r="F196" s="12">
        <v>45910</v>
      </c>
      <c r="G196">
        <f t="shared" si="41"/>
        <v>10</v>
      </c>
      <c r="H196">
        <f t="shared" si="42"/>
        <v>9</v>
      </c>
      <c r="I196">
        <f t="shared" si="43"/>
        <v>2025</v>
      </c>
      <c r="J196" t="str">
        <f t="shared" si="44"/>
        <v>Wednesday</v>
      </c>
      <c r="K196" t="str">
        <f t="shared" si="45"/>
        <v>September</v>
      </c>
      <c r="L196" t="str">
        <f t="shared" ca="1" si="46"/>
        <v>0 YEAR 8 MONTH 12 DAY</v>
      </c>
      <c r="M196" t="str">
        <f t="shared" ca="1" si="47"/>
        <v xml:space="preserve">3 YEAR 11 MONTH 25 DAY </v>
      </c>
    </row>
    <row r="197" spans="1:13">
      <c r="A197" s="13">
        <f t="shared" ca="1" si="36"/>
        <v>38308</v>
      </c>
      <c r="B197">
        <f t="shared" ca="1" si="37"/>
        <v>11</v>
      </c>
      <c r="C197">
        <f t="shared" ca="1" si="38"/>
        <v>2004</v>
      </c>
      <c r="D197">
        <f t="shared" ca="1" si="39"/>
        <v>17</v>
      </c>
      <c r="E197" t="str">
        <f t="shared" ca="1" si="40"/>
        <v>Wednesday</v>
      </c>
      <c r="F197" s="12">
        <v>45911</v>
      </c>
      <c r="G197">
        <f t="shared" si="41"/>
        <v>11</v>
      </c>
      <c r="H197">
        <f t="shared" si="42"/>
        <v>9</v>
      </c>
      <c r="I197">
        <f t="shared" si="43"/>
        <v>2025</v>
      </c>
      <c r="J197" t="str">
        <f t="shared" si="44"/>
        <v>Thursday</v>
      </c>
      <c r="K197" t="str">
        <f t="shared" si="45"/>
        <v>September</v>
      </c>
      <c r="L197" t="str">
        <f t="shared" ca="1" si="46"/>
        <v>0 YEAR 8 MONTH 11 DAY</v>
      </c>
      <c r="M197" t="str">
        <f t="shared" ca="1" si="47"/>
        <v xml:space="preserve">21 YEAR 6 MONTH 5 DAY </v>
      </c>
    </row>
    <row r="198" spans="1:13">
      <c r="A198" s="13">
        <f t="shared" ca="1" si="36"/>
        <v>39695</v>
      </c>
      <c r="B198">
        <f t="shared" ca="1" si="37"/>
        <v>9</v>
      </c>
      <c r="C198">
        <f t="shared" ca="1" si="38"/>
        <v>2008</v>
      </c>
      <c r="D198">
        <f t="shared" ca="1" si="39"/>
        <v>4</v>
      </c>
      <c r="E198" t="str">
        <f t="shared" ca="1" si="40"/>
        <v>Thursday</v>
      </c>
      <c r="F198" s="12">
        <v>45912</v>
      </c>
      <c r="G198">
        <f t="shared" si="41"/>
        <v>12</v>
      </c>
      <c r="H198">
        <f t="shared" si="42"/>
        <v>9</v>
      </c>
      <c r="I198">
        <f t="shared" si="43"/>
        <v>2025</v>
      </c>
      <c r="J198" t="str">
        <f t="shared" si="44"/>
        <v>Friday</v>
      </c>
      <c r="K198" t="str">
        <f t="shared" si="45"/>
        <v>September</v>
      </c>
      <c r="L198" t="str">
        <f t="shared" ca="1" si="46"/>
        <v>0 YEAR 8 MONTH 10 DAY</v>
      </c>
      <c r="M198" t="str">
        <f t="shared" ca="1" si="47"/>
        <v xml:space="preserve">17 YEAR 8 MONTH 18 DAY </v>
      </c>
    </row>
    <row r="199" spans="1:13">
      <c r="A199" s="13">
        <f t="shared" ca="1" si="36"/>
        <v>43130</v>
      </c>
      <c r="B199">
        <f t="shared" ca="1" si="37"/>
        <v>1</v>
      </c>
      <c r="C199">
        <f t="shared" ca="1" si="38"/>
        <v>2018</v>
      </c>
      <c r="D199">
        <f t="shared" ca="1" si="39"/>
        <v>30</v>
      </c>
      <c r="E199" t="str">
        <f t="shared" ca="1" si="40"/>
        <v>Tuesday</v>
      </c>
      <c r="F199" s="12">
        <v>45913</v>
      </c>
      <c r="G199">
        <f t="shared" si="41"/>
        <v>13</v>
      </c>
      <c r="H199">
        <f t="shared" si="42"/>
        <v>9</v>
      </c>
      <c r="I199">
        <f t="shared" si="43"/>
        <v>2025</v>
      </c>
      <c r="J199" t="str">
        <f t="shared" si="44"/>
        <v>Saturday</v>
      </c>
      <c r="K199" t="str">
        <f t="shared" si="45"/>
        <v>September</v>
      </c>
      <c r="L199" t="str">
        <f t="shared" ca="1" si="46"/>
        <v>0 YEAR 8 MONTH 9 DAY</v>
      </c>
      <c r="M199" t="str">
        <f t="shared" ca="1" si="47"/>
        <v xml:space="preserve">8 YEAR 3 MONTH 22 DAY </v>
      </c>
    </row>
    <row r="200" spans="1:13">
      <c r="A200" s="13">
        <f t="shared" ca="1" si="36"/>
        <v>37860</v>
      </c>
      <c r="B200">
        <f t="shared" ca="1" si="37"/>
        <v>8</v>
      </c>
      <c r="C200">
        <f t="shared" ca="1" si="38"/>
        <v>2003</v>
      </c>
      <c r="D200">
        <f t="shared" ca="1" si="39"/>
        <v>27</v>
      </c>
      <c r="E200" t="str">
        <f t="shared" ca="1" si="40"/>
        <v>Wednesday</v>
      </c>
      <c r="F200" s="12">
        <v>45914</v>
      </c>
      <c r="G200">
        <f t="shared" si="41"/>
        <v>14</v>
      </c>
      <c r="H200">
        <f t="shared" si="42"/>
        <v>9</v>
      </c>
      <c r="I200">
        <f t="shared" si="43"/>
        <v>2025</v>
      </c>
      <c r="J200" t="str">
        <f t="shared" si="44"/>
        <v>Sunday</v>
      </c>
      <c r="K200" t="str">
        <f t="shared" si="45"/>
        <v>September</v>
      </c>
      <c r="L200" t="str">
        <f t="shared" ca="1" si="46"/>
        <v>0 YEAR 8 MONTH 8 DAY</v>
      </c>
      <c r="M200" t="str">
        <f t="shared" ca="1" si="47"/>
        <v xml:space="preserve">22 YEAR 8 MONTH 25 DAY </v>
      </c>
    </row>
    <row r="201" spans="1:13">
      <c r="A201" s="13">
        <f t="shared" ca="1" si="36"/>
        <v>43864</v>
      </c>
      <c r="B201">
        <f t="shared" ca="1" si="37"/>
        <v>2</v>
      </c>
      <c r="C201">
        <f t="shared" ca="1" si="38"/>
        <v>2020</v>
      </c>
      <c r="D201">
        <f t="shared" ca="1" si="39"/>
        <v>3</v>
      </c>
      <c r="E201" t="str">
        <f t="shared" ca="1" si="40"/>
        <v>Monday</v>
      </c>
      <c r="F201" s="12">
        <v>45915</v>
      </c>
      <c r="G201">
        <f t="shared" si="41"/>
        <v>15</v>
      </c>
      <c r="H201">
        <f t="shared" si="42"/>
        <v>9</v>
      </c>
      <c r="I201">
        <f t="shared" si="43"/>
        <v>2025</v>
      </c>
      <c r="J201" t="str">
        <f t="shared" si="44"/>
        <v>Monday</v>
      </c>
      <c r="K201" t="str">
        <f t="shared" si="45"/>
        <v>September</v>
      </c>
      <c r="L201" t="str">
        <f t="shared" ca="1" si="46"/>
        <v>0 YEAR 8 MONTH 7 DAY</v>
      </c>
      <c r="M201" t="str">
        <f t="shared" ca="1" si="47"/>
        <v xml:space="preserve">6 YEAR 3 MONTH 19 DAY </v>
      </c>
    </row>
    <row r="202" spans="1:13">
      <c r="A202" s="13">
        <f t="shared" ca="1" si="36"/>
        <v>41810</v>
      </c>
      <c r="B202">
        <f t="shared" ca="1" si="37"/>
        <v>6</v>
      </c>
      <c r="C202">
        <f t="shared" ca="1" si="38"/>
        <v>2014</v>
      </c>
      <c r="D202">
        <f t="shared" ca="1" si="39"/>
        <v>20</v>
      </c>
      <c r="E202" t="str">
        <f t="shared" ca="1" si="40"/>
        <v>Friday</v>
      </c>
      <c r="F202" s="12">
        <v>45916</v>
      </c>
      <c r="G202">
        <f t="shared" si="41"/>
        <v>16</v>
      </c>
      <c r="H202">
        <f t="shared" si="42"/>
        <v>9</v>
      </c>
      <c r="I202">
        <f t="shared" si="43"/>
        <v>2025</v>
      </c>
      <c r="J202" t="str">
        <f t="shared" si="44"/>
        <v>Tuesday</v>
      </c>
      <c r="K202" t="str">
        <f t="shared" si="45"/>
        <v>September</v>
      </c>
      <c r="L202" t="str">
        <f t="shared" ca="1" si="46"/>
        <v>0 YEAR 8 MONTH 6 DAY</v>
      </c>
      <c r="M202" t="str">
        <f t="shared" ca="1" si="47"/>
        <v xml:space="preserve">11 YEAR 11 MONTH 2 DAY </v>
      </c>
    </row>
    <row r="203" spans="1:13">
      <c r="A203" s="13">
        <f t="shared" ca="1" si="36"/>
        <v>38741</v>
      </c>
      <c r="B203">
        <f t="shared" ca="1" si="37"/>
        <v>1</v>
      </c>
      <c r="C203">
        <f t="shared" ca="1" si="38"/>
        <v>2006</v>
      </c>
      <c r="D203">
        <f t="shared" ca="1" si="39"/>
        <v>24</v>
      </c>
      <c r="E203" t="str">
        <f t="shared" ca="1" si="40"/>
        <v>Tuesday</v>
      </c>
      <c r="F203" s="12">
        <v>45917</v>
      </c>
      <c r="G203">
        <f t="shared" si="41"/>
        <v>17</v>
      </c>
      <c r="H203">
        <f t="shared" si="42"/>
        <v>9</v>
      </c>
      <c r="I203">
        <f t="shared" si="43"/>
        <v>2025</v>
      </c>
      <c r="J203" t="str">
        <f t="shared" si="44"/>
        <v>Wednesday</v>
      </c>
      <c r="K203" t="str">
        <f t="shared" si="45"/>
        <v>September</v>
      </c>
      <c r="L203" t="str">
        <f t="shared" ca="1" si="46"/>
        <v>0 YEAR 8 MONTH 5 DAY</v>
      </c>
      <c r="M203" t="str">
        <f t="shared" ca="1" si="47"/>
        <v xml:space="preserve">20 YEAR 3 MONTH 28 DAY </v>
      </c>
    </row>
    <row r="204" spans="1:13">
      <c r="A204" s="13">
        <f t="shared" ca="1" si="36"/>
        <v>38674</v>
      </c>
      <c r="B204">
        <f t="shared" ca="1" si="37"/>
        <v>11</v>
      </c>
      <c r="C204">
        <f t="shared" ca="1" si="38"/>
        <v>2005</v>
      </c>
      <c r="D204">
        <f t="shared" ca="1" si="39"/>
        <v>18</v>
      </c>
      <c r="E204" t="str">
        <f t="shared" ca="1" si="40"/>
        <v>Friday</v>
      </c>
      <c r="F204" s="12">
        <v>45918</v>
      </c>
      <c r="G204">
        <f t="shared" si="41"/>
        <v>18</v>
      </c>
      <c r="H204">
        <f t="shared" si="42"/>
        <v>9</v>
      </c>
      <c r="I204">
        <f t="shared" si="43"/>
        <v>2025</v>
      </c>
      <c r="J204" t="str">
        <f t="shared" si="44"/>
        <v>Thursday</v>
      </c>
      <c r="K204" t="str">
        <f t="shared" si="45"/>
        <v>September</v>
      </c>
      <c r="L204" t="str">
        <f t="shared" ca="1" si="46"/>
        <v>0 YEAR 8 MONTH 4 DAY</v>
      </c>
      <c r="M204" t="str">
        <f t="shared" ca="1" si="47"/>
        <v xml:space="preserve">20 YEAR 6 MONTH 4 DAY </v>
      </c>
    </row>
    <row r="205" spans="1:13">
      <c r="A205" s="13">
        <f t="shared" ca="1" si="36"/>
        <v>39837</v>
      </c>
      <c r="B205">
        <f t="shared" ca="1" si="37"/>
        <v>1</v>
      </c>
      <c r="C205">
        <f t="shared" ca="1" si="38"/>
        <v>2009</v>
      </c>
      <c r="D205">
        <f t="shared" ca="1" si="39"/>
        <v>24</v>
      </c>
      <c r="E205" t="str">
        <f t="shared" ca="1" si="40"/>
        <v>Saturday</v>
      </c>
      <c r="F205" s="12">
        <v>45919</v>
      </c>
      <c r="G205">
        <f t="shared" si="41"/>
        <v>19</v>
      </c>
      <c r="H205">
        <f t="shared" si="42"/>
        <v>9</v>
      </c>
      <c r="I205">
        <f t="shared" si="43"/>
        <v>2025</v>
      </c>
      <c r="J205" t="str">
        <f t="shared" si="44"/>
        <v>Friday</v>
      </c>
      <c r="K205" t="str">
        <f t="shared" si="45"/>
        <v>September</v>
      </c>
      <c r="L205" t="str">
        <f t="shared" ca="1" si="46"/>
        <v>0 YEAR 8 MONTH 3 DAY</v>
      </c>
      <c r="M205" t="str">
        <f t="shared" ca="1" si="47"/>
        <v xml:space="preserve">17 YEAR 3 MONTH 28 DAY </v>
      </c>
    </row>
    <row r="206" spans="1:13">
      <c r="A206" s="13">
        <f t="shared" ca="1" si="36"/>
        <v>44908</v>
      </c>
      <c r="B206">
        <f t="shared" ca="1" si="37"/>
        <v>12</v>
      </c>
      <c r="C206">
        <f t="shared" ca="1" si="38"/>
        <v>2022</v>
      </c>
      <c r="D206">
        <f t="shared" ca="1" si="39"/>
        <v>13</v>
      </c>
      <c r="E206" t="str">
        <f t="shared" ca="1" si="40"/>
        <v>Tuesday</v>
      </c>
      <c r="F206" s="12">
        <v>45920</v>
      </c>
      <c r="G206">
        <f t="shared" si="41"/>
        <v>20</v>
      </c>
      <c r="H206">
        <f t="shared" si="42"/>
        <v>9</v>
      </c>
      <c r="I206">
        <f t="shared" si="43"/>
        <v>2025</v>
      </c>
      <c r="J206" t="str">
        <f t="shared" si="44"/>
        <v>Saturday</v>
      </c>
      <c r="K206" t="str">
        <f t="shared" si="45"/>
        <v>September</v>
      </c>
      <c r="L206" t="str">
        <f t="shared" ca="1" si="46"/>
        <v>0 YEAR 8 MONTH 2 DAY</v>
      </c>
      <c r="M206" t="str">
        <f t="shared" ca="1" si="47"/>
        <v xml:space="preserve">3 YEAR 5 MONTH 9 DAY </v>
      </c>
    </row>
    <row r="207" spans="1:13">
      <c r="A207" s="13">
        <f t="shared" ca="1" si="36"/>
        <v>38773</v>
      </c>
      <c r="B207">
        <f t="shared" ca="1" si="37"/>
        <v>2</v>
      </c>
      <c r="C207">
        <f t="shared" ref="C207:C270" ca="1" si="48">YEAR(A207)</f>
        <v>2006</v>
      </c>
      <c r="D207">
        <f t="shared" ref="D207:D270" ca="1" si="49">DAY(A207)</f>
        <v>25</v>
      </c>
      <c r="E207" t="str">
        <f t="shared" ref="E207:E270" ca="1" si="50">TEXT(A207,"dddd")</f>
        <v>Saturday</v>
      </c>
      <c r="F207" s="12">
        <v>45921</v>
      </c>
      <c r="G207">
        <f t="shared" si="41"/>
        <v>21</v>
      </c>
      <c r="H207">
        <f t="shared" si="42"/>
        <v>9</v>
      </c>
      <c r="I207">
        <f t="shared" si="43"/>
        <v>2025</v>
      </c>
      <c r="J207" t="str">
        <f t="shared" si="44"/>
        <v>Sunday</v>
      </c>
      <c r="K207" t="str">
        <f t="shared" si="45"/>
        <v>September</v>
      </c>
      <c r="L207" t="str">
        <f t="shared" ca="1" si="46"/>
        <v>0 YEAR 8 MONTH 1 DAY</v>
      </c>
      <c r="M207" t="str">
        <f t="shared" ca="1" si="47"/>
        <v xml:space="preserve">20 YEAR 2 MONTH 27 DAY </v>
      </c>
    </row>
    <row r="208" spans="1:13">
      <c r="A208" s="13">
        <f t="shared" ca="1" si="36"/>
        <v>41580</v>
      </c>
      <c r="B208">
        <f t="shared" ca="1" si="37"/>
        <v>11</v>
      </c>
      <c r="C208">
        <f t="shared" ca="1" si="48"/>
        <v>2013</v>
      </c>
      <c r="D208">
        <f t="shared" ca="1" si="49"/>
        <v>2</v>
      </c>
      <c r="E208" t="str">
        <f t="shared" ca="1" si="50"/>
        <v>Saturday</v>
      </c>
      <c r="F208" s="12">
        <v>45922</v>
      </c>
      <c r="G208">
        <f t="shared" si="41"/>
        <v>22</v>
      </c>
      <c r="H208">
        <f t="shared" si="42"/>
        <v>9</v>
      </c>
      <c r="I208">
        <f t="shared" si="43"/>
        <v>2025</v>
      </c>
      <c r="J208" t="str">
        <f t="shared" si="44"/>
        <v>Monday</v>
      </c>
      <c r="K208" t="str">
        <f t="shared" si="45"/>
        <v>September</v>
      </c>
      <c r="L208" t="str">
        <f t="shared" ca="1" si="46"/>
        <v>0 YEAR 8 MONTH 0 DAY</v>
      </c>
      <c r="M208" t="str">
        <f t="shared" ca="1" si="47"/>
        <v xml:space="preserve">12 YEAR 6 MONTH 20 DAY </v>
      </c>
    </row>
    <row r="209" spans="1:13">
      <c r="A209" s="13">
        <f t="shared" ca="1" si="36"/>
        <v>39359</v>
      </c>
      <c r="B209">
        <f t="shared" ca="1" si="37"/>
        <v>10</v>
      </c>
      <c r="C209">
        <f t="shared" ca="1" si="48"/>
        <v>2007</v>
      </c>
      <c r="D209">
        <f t="shared" ca="1" si="49"/>
        <v>4</v>
      </c>
      <c r="E209" t="str">
        <f t="shared" ca="1" si="50"/>
        <v>Thursday</v>
      </c>
      <c r="F209" s="12">
        <v>45923</v>
      </c>
      <c r="G209">
        <f t="shared" si="41"/>
        <v>23</v>
      </c>
      <c r="H209">
        <f t="shared" si="42"/>
        <v>9</v>
      </c>
      <c r="I209">
        <f t="shared" si="43"/>
        <v>2025</v>
      </c>
      <c r="J209" t="str">
        <f t="shared" si="44"/>
        <v>Tuesday</v>
      </c>
      <c r="K209" t="str">
        <f t="shared" si="45"/>
        <v>September</v>
      </c>
      <c r="L209" t="str">
        <f t="shared" ca="1" si="46"/>
        <v>0 YEAR 7 MONTH 29 DAY</v>
      </c>
      <c r="M209" t="str">
        <f t="shared" ca="1" si="47"/>
        <v xml:space="preserve">18 YEAR 7 MONTH 18 DAY </v>
      </c>
    </row>
    <row r="210" spans="1:13">
      <c r="A210" s="13">
        <f t="shared" ca="1" si="36"/>
        <v>37838</v>
      </c>
      <c r="B210">
        <f t="shared" ca="1" si="37"/>
        <v>8</v>
      </c>
      <c r="C210">
        <f t="shared" ca="1" si="48"/>
        <v>2003</v>
      </c>
      <c r="D210">
        <f t="shared" ca="1" si="49"/>
        <v>5</v>
      </c>
      <c r="E210" t="str">
        <f t="shared" ca="1" si="50"/>
        <v>Tuesday</v>
      </c>
      <c r="F210" s="12">
        <v>45924</v>
      </c>
      <c r="G210">
        <f t="shared" si="41"/>
        <v>24</v>
      </c>
      <c r="H210">
        <f t="shared" si="42"/>
        <v>9</v>
      </c>
      <c r="I210">
        <f t="shared" si="43"/>
        <v>2025</v>
      </c>
      <c r="J210" t="str">
        <f t="shared" si="44"/>
        <v>Wednesday</v>
      </c>
      <c r="K210" t="str">
        <f t="shared" si="45"/>
        <v>September</v>
      </c>
      <c r="L210" t="str">
        <f t="shared" ca="1" si="46"/>
        <v>0 YEAR 7 MONTH 28 DAY</v>
      </c>
      <c r="M210" t="str">
        <f t="shared" ca="1" si="47"/>
        <v xml:space="preserve">22 YEAR 9 MONTH 17 DAY </v>
      </c>
    </row>
    <row r="211" spans="1:13">
      <c r="A211" s="13">
        <f t="shared" ca="1" si="36"/>
        <v>43473</v>
      </c>
      <c r="B211">
        <f t="shared" ca="1" si="37"/>
        <v>1</v>
      </c>
      <c r="C211">
        <f t="shared" ca="1" si="48"/>
        <v>2019</v>
      </c>
      <c r="D211">
        <f t="shared" ca="1" si="49"/>
        <v>8</v>
      </c>
      <c r="E211" t="str">
        <f t="shared" ca="1" si="50"/>
        <v>Tuesday</v>
      </c>
      <c r="F211" s="12">
        <v>45925</v>
      </c>
      <c r="G211">
        <f t="shared" si="41"/>
        <v>25</v>
      </c>
      <c r="H211">
        <f t="shared" si="42"/>
        <v>9</v>
      </c>
      <c r="I211">
        <f t="shared" si="43"/>
        <v>2025</v>
      </c>
      <c r="J211" t="str">
        <f t="shared" si="44"/>
        <v>Thursday</v>
      </c>
      <c r="K211" t="str">
        <f t="shared" si="45"/>
        <v>September</v>
      </c>
      <c r="L211" t="str">
        <f t="shared" ca="1" si="46"/>
        <v>0 YEAR 7 MONTH 27 DAY</v>
      </c>
      <c r="M211" t="str">
        <f t="shared" ca="1" si="47"/>
        <v xml:space="preserve">7 YEAR 4 MONTH 14 DAY </v>
      </c>
    </row>
    <row r="212" spans="1:13">
      <c r="A212" s="13">
        <f t="shared" ca="1" si="36"/>
        <v>40770</v>
      </c>
      <c r="B212">
        <f t="shared" ca="1" si="37"/>
        <v>8</v>
      </c>
      <c r="C212">
        <f t="shared" ca="1" si="48"/>
        <v>2011</v>
      </c>
      <c r="D212">
        <f t="shared" ca="1" si="49"/>
        <v>15</v>
      </c>
      <c r="E212" t="str">
        <f t="shared" ca="1" si="50"/>
        <v>Monday</v>
      </c>
      <c r="F212" s="12">
        <v>45926</v>
      </c>
      <c r="G212">
        <f t="shared" si="41"/>
        <v>26</v>
      </c>
      <c r="H212">
        <f t="shared" si="42"/>
        <v>9</v>
      </c>
      <c r="I212">
        <f t="shared" si="43"/>
        <v>2025</v>
      </c>
      <c r="J212" t="str">
        <f t="shared" si="44"/>
        <v>Friday</v>
      </c>
      <c r="K212" t="str">
        <f t="shared" si="45"/>
        <v>September</v>
      </c>
      <c r="L212" t="str">
        <f t="shared" ca="1" si="46"/>
        <v>0 YEAR 7 MONTH 26 DAY</v>
      </c>
      <c r="M212" t="str">
        <f t="shared" ca="1" si="47"/>
        <v xml:space="preserve">14 YEAR 9 MONTH 7 DAY </v>
      </c>
    </row>
    <row r="213" spans="1:13">
      <c r="A213" s="13">
        <f t="shared" ca="1" si="36"/>
        <v>39066</v>
      </c>
      <c r="B213">
        <f t="shared" ca="1" si="37"/>
        <v>12</v>
      </c>
      <c r="C213">
        <f t="shared" ca="1" si="48"/>
        <v>2006</v>
      </c>
      <c r="D213">
        <f t="shared" ca="1" si="49"/>
        <v>15</v>
      </c>
      <c r="E213" t="str">
        <f t="shared" ca="1" si="50"/>
        <v>Friday</v>
      </c>
      <c r="F213" s="12">
        <v>45927</v>
      </c>
      <c r="G213">
        <f t="shared" si="41"/>
        <v>27</v>
      </c>
      <c r="H213">
        <f t="shared" si="42"/>
        <v>9</v>
      </c>
      <c r="I213">
        <f t="shared" si="43"/>
        <v>2025</v>
      </c>
      <c r="J213" t="str">
        <f t="shared" si="44"/>
        <v>Saturday</v>
      </c>
      <c r="K213" t="str">
        <f t="shared" si="45"/>
        <v>September</v>
      </c>
      <c r="L213" t="str">
        <f t="shared" ca="1" si="46"/>
        <v>0 YEAR 7 MONTH 25 DAY</v>
      </c>
      <c r="M213" t="str">
        <f t="shared" ca="1" si="47"/>
        <v xml:space="preserve">19 YEAR 5 MONTH 7 DAY </v>
      </c>
    </row>
    <row r="214" spans="1:13">
      <c r="A214" s="13">
        <f t="shared" ca="1" si="36"/>
        <v>41831</v>
      </c>
      <c r="B214">
        <f t="shared" ca="1" si="37"/>
        <v>7</v>
      </c>
      <c r="C214">
        <f t="shared" ca="1" si="48"/>
        <v>2014</v>
      </c>
      <c r="D214">
        <f t="shared" ca="1" si="49"/>
        <v>11</v>
      </c>
      <c r="E214" t="str">
        <f t="shared" ca="1" si="50"/>
        <v>Friday</v>
      </c>
      <c r="F214" s="12">
        <v>45928</v>
      </c>
      <c r="G214">
        <f t="shared" si="41"/>
        <v>28</v>
      </c>
      <c r="H214">
        <f t="shared" si="42"/>
        <v>9</v>
      </c>
      <c r="I214">
        <f t="shared" si="43"/>
        <v>2025</v>
      </c>
      <c r="J214" t="str">
        <f t="shared" si="44"/>
        <v>Sunday</v>
      </c>
      <c r="K214" t="str">
        <f t="shared" si="45"/>
        <v>September</v>
      </c>
      <c r="L214" t="str">
        <f t="shared" ca="1" si="46"/>
        <v>0 YEAR 7 MONTH 24 DAY</v>
      </c>
      <c r="M214" t="str">
        <f t="shared" ca="1" si="47"/>
        <v xml:space="preserve">11 YEAR 10 MONTH 11 DAY </v>
      </c>
    </row>
    <row r="215" spans="1:13">
      <c r="A215" s="13">
        <f t="shared" ca="1" si="36"/>
        <v>45424</v>
      </c>
      <c r="B215">
        <f t="shared" ca="1" si="37"/>
        <v>5</v>
      </c>
      <c r="C215">
        <f t="shared" ca="1" si="48"/>
        <v>2024</v>
      </c>
      <c r="D215">
        <f t="shared" ca="1" si="49"/>
        <v>12</v>
      </c>
      <c r="E215" t="str">
        <f t="shared" ca="1" si="50"/>
        <v>Sunday</v>
      </c>
      <c r="F215" s="12">
        <v>45929</v>
      </c>
      <c r="G215">
        <f t="shared" si="41"/>
        <v>29</v>
      </c>
      <c r="H215">
        <f t="shared" si="42"/>
        <v>9</v>
      </c>
      <c r="I215">
        <f t="shared" si="43"/>
        <v>2025</v>
      </c>
      <c r="J215" t="str">
        <f t="shared" si="44"/>
        <v>Monday</v>
      </c>
      <c r="K215" t="str">
        <f t="shared" si="45"/>
        <v>September</v>
      </c>
      <c r="L215" t="str">
        <f t="shared" ca="1" si="46"/>
        <v>0 YEAR 7 MONTH 23 DAY</v>
      </c>
      <c r="M215" t="str">
        <f t="shared" ca="1" si="47"/>
        <v xml:space="preserve">2 YEAR 0 MONTH 10 DAY </v>
      </c>
    </row>
    <row r="216" spans="1:13">
      <c r="A216" s="13">
        <f t="shared" ca="1" si="36"/>
        <v>45085</v>
      </c>
      <c r="B216">
        <f t="shared" ca="1" si="37"/>
        <v>6</v>
      </c>
      <c r="C216">
        <f t="shared" ca="1" si="48"/>
        <v>2023</v>
      </c>
      <c r="D216">
        <f t="shared" ca="1" si="49"/>
        <v>8</v>
      </c>
      <c r="E216" t="str">
        <f t="shared" ca="1" si="50"/>
        <v>Thursday</v>
      </c>
      <c r="F216" s="12">
        <v>45930</v>
      </c>
      <c r="G216">
        <f t="shared" si="41"/>
        <v>30</v>
      </c>
      <c r="H216">
        <f t="shared" si="42"/>
        <v>9</v>
      </c>
      <c r="I216">
        <f t="shared" si="43"/>
        <v>2025</v>
      </c>
      <c r="J216" t="str">
        <f t="shared" si="44"/>
        <v>Tuesday</v>
      </c>
      <c r="K216" t="str">
        <f t="shared" si="45"/>
        <v>September</v>
      </c>
      <c r="L216" t="str">
        <f t="shared" ca="1" si="46"/>
        <v>0 YEAR 7 MONTH 22 DAY</v>
      </c>
      <c r="M216" t="str">
        <f t="shared" ca="1" si="47"/>
        <v xml:space="preserve">2 YEAR 11 MONTH 14 DAY </v>
      </c>
    </row>
    <row r="217" spans="1:13">
      <c r="A217" s="13">
        <f t="shared" ca="1" si="36"/>
        <v>42019</v>
      </c>
      <c r="B217">
        <f t="shared" ca="1" si="37"/>
        <v>1</v>
      </c>
      <c r="C217">
        <f t="shared" ca="1" si="48"/>
        <v>2015</v>
      </c>
      <c r="D217">
        <f t="shared" ca="1" si="49"/>
        <v>15</v>
      </c>
      <c r="E217" t="str">
        <f t="shared" ca="1" si="50"/>
        <v>Thursday</v>
      </c>
      <c r="F217" s="12">
        <v>45931</v>
      </c>
      <c r="G217">
        <f t="shared" si="41"/>
        <v>1</v>
      </c>
      <c r="H217">
        <f t="shared" si="42"/>
        <v>10</v>
      </c>
      <c r="I217">
        <f t="shared" si="43"/>
        <v>2025</v>
      </c>
      <c r="J217" t="str">
        <f t="shared" si="44"/>
        <v>Wednesday</v>
      </c>
      <c r="K217" t="str">
        <f t="shared" si="45"/>
        <v>October</v>
      </c>
      <c r="L217" t="str">
        <f t="shared" ca="1" si="46"/>
        <v>0 YEAR 7 MONTH 21 DAY</v>
      </c>
      <c r="M217" t="str">
        <f t="shared" ca="1" si="47"/>
        <v xml:space="preserve">11 YEAR 4 MONTH 7 DAY </v>
      </c>
    </row>
    <row r="218" spans="1:13">
      <c r="A218" s="13">
        <f t="shared" ca="1" si="36"/>
        <v>38310</v>
      </c>
      <c r="B218">
        <f t="shared" ca="1" si="37"/>
        <v>11</v>
      </c>
      <c r="C218">
        <f t="shared" ca="1" si="48"/>
        <v>2004</v>
      </c>
      <c r="D218">
        <f t="shared" ca="1" si="49"/>
        <v>19</v>
      </c>
      <c r="E218" t="str">
        <f t="shared" ca="1" si="50"/>
        <v>Friday</v>
      </c>
      <c r="F218" s="12">
        <v>45932</v>
      </c>
      <c r="G218">
        <f t="shared" si="41"/>
        <v>2</v>
      </c>
      <c r="H218">
        <f t="shared" si="42"/>
        <v>10</v>
      </c>
      <c r="I218">
        <f t="shared" si="43"/>
        <v>2025</v>
      </c>
      <c r="J218" t="str">
        <f t="shared" si="44"/>
        <v>Thursday</v>
      </c>
      <c r="K218" t="str">
        <f t="shared" si="45"/>
        <v>October</v>
      </c>
      <c r="L218" t="str">
        <f t="shared" ca="1" si="46"/>
        <v>0 YEAR 7 MONTH 20 DAY</v>
      </c>
      <c r="M218" t="str">
        <f t="shared" ca="1" si="47"/>
        <v xml:space="preserve">21 YEAR 6 MONTH 3 DAY </v>
      </c>
    </row>
    <row r="219" spans="1:13">
      <c r="A219" s="13">
        <f t="shared" ca="1" si="36"/>
        <v>44085</v>
      </c>
      <c r="B219">
        <f t="shared" ca="1" si="37"/>
        <v>9</v>
      </c>
      <c r="C219">
        <f t="shared" ca="1" si="48"/>
        <v>2020</v>
      </c>
      <c r="D219">
        <f t="shared" ca="1" si="49"/>
        <v>11</v>
      </c>
      <c r="E219" t="str">
        <f t="shared" ca="1" si="50"/>
        <v>Friday</v>
      </c>
      <c r="F219" s="12">
        <v>45933</v>
      </c>
      <c r="G219">
        <f t="shared" si="41"/>
        <v>3</v>
      </c>
      <c r="H219">
        <f t="shared" si="42"/>
        <v>10</v>
      </c>
      <c r="I219">
        <f t="shared" si="43"/>
        <v>2025</v>
      </c>
      <c r="J219" t="str">
        <f t="shared" si="44"/>
        <v>Friday</v>
      </c>
      <c r="K219" t="str">
        <f t="shared" si="45"/>
        <v>October</v>
      </c>
      <c r="L219" t="str">
        <f t="shared" ca="1" si="46"/>
        <v>0 YEAR 7 MONTH 19 DAY</v>
      </c>
      <c r="M219" t="str">
        <f t="shared" ca="1" si="47"/>
        <v xml:space="preserve">5 YEAR 8 MONTH 11 DAY </v>
      </c>
    </row>
    <row r="220" spans="1:13">
      <c r="A220" s="13">
        <f t="shared" ca="1" si="36"/>
        <v>39954</v>
      </c>
      <c r="B220">
        <f t="shared" ca="1" si="37"/>
        <v>5</v>
      </c>
      <c r="C220">
        <f t="shared" ca="1" si="48"/>
        <v>2009</v>
      </c>
      <c r="D220">
        <f t="shared" ca="1" si="49"/>
        <v>21</v>
      </c>
      <c r="E220" t="str">
        <f t="shared" ca="1" si="50"/>
        <v>Thursday</v>
      </c>
      <c r="F220" s="12">
        <v>45934</v>
      </c>
      <c r="G220">
        <f t="shared" si="41"/>
        <v>4</v>
      </c>
      <c r="H220">
        <f t="shared" si="42"/>
        <v>10</v>
      </c>
      <c r="I220">
        <f t="shared" si="43"/>
        <v>2025</v>
      </c>
      <c r="J220" t="str">
        <f t="shared" si="44"/>
        <v>Saturday</v>
      </c>
      <c r="K220" t="str">
        <f t="shared" si="45"/>
        <v>October</v>
      </c>
      <c r="L220" t="str">
        <f t="shared" ca="1" si="46"/>
        <v>0 YEAR 7 MONTH 18 DAY</v>
      </c>
      <c r="M220" t="str">
        <f t="shared" ca="1" si="47"/>
        <v xml:space="preserve">17 YEAR 0 MONTH 1 DAY </v>
      </c>
    </row>
    <row r="221" spans="1:13">
      <c r="A221" s="13">
        <f t="shared" ca="1" si="36"/>
        <v>45623</v>
      </c>
      <c r="B221">
        <f t="shared" ca="1" si="37"/>
        <v>11</v>
      </c>
      <c r="C221">
        <f t="shared" ca="1" si="48"/>
        <v>2024</v>
      </c>
      <c r="D221">
        <f t="shared" ca="1" si="49"/>
        <v>27</v>
      </c>
      <c r="E221" t="str">
        <f t="shared" ca="1" si="50"/>
        <v>Wednesday</v>
      </c>
      <c r="F221" s="12">
        <v>45935</v>
      </c>
      <c r="G221">
        <f t="shared" si="41"/>
        <v>5</v>
      </c>
      <c r="H221">
        <f t="shared" si="42"/>
        <v>10</v>
      </c>
      <c r="I221">
        <f t="shared" si="43"/>
        <v>2025</v>
      </c>
      <c r="J221" t="str">
        <f t="shared" si="44"/>
        <v>Sunday</v>
      </c>
      <c r="K221" t="str">
        <f t="shared" si="45"/>
        <v>October</v>
      </c>
      <c r="L221" t="str">
        <f t="shared" ca="1" si="46"/>
        <v>0 YEAR 7 MONTH 17 DAY</v>
      </c>
      <c r="M221" t="str">
        <f t="shared" ca="1" si="47"/>
        <v xml:space="preserve">1 YEAR 5 MONTH 25 DAY </v>
      </c>
    </row>
    <row r="222" spans="1:13">
      <c r="A222" s="13">
        <f t="shared" ca="1" si="36"/>
        <v>44015</v>
      </c>
      <c r="B222">
        <f t="shared" ca="1" si="37"/>
        <v>7</v>
      </c>
      <c r="C222">
        <f t="shared" ca="1" si="48"/>
        <v>2020</v>
      </c>
      <c r="D222">
        <f t="shared" ca="1" si="49"/>
        <v>3</v>
      </c>
      <c r="E222" t="str">
        <f t="shared" ca="1" si="50"/>
        <v>Friday</v>
      </c>
      <c r="F222" s="12">
        <v>45936</v>
      </c>
      <c r="G222">
        <f t="shared" si="41"/>
        <v>6</v>
      </c>
      <c r="H222">
        <f t="shared" si="42"/>
        <v>10</v>
      </c>
      <c r="I222">
        <f t="shared" si="43"/>
        <v>2025</v>
      </c>
      <c r="J222" t="str">
        <f t="shared" si="44"/>
        <v>Monday</v>
      </c>
      <c r="K222" t="str">
        <f t="shared" si="45"/>
        <v>October</v>
      </c>
      <c r="L222" t="str">
        <f t="shared" ca="1" si="46"/>
        <v>0 YEAR 7 MONTH 16 DAY</v>
      </c>
      <c r="M222" t="str">
        <f t="shared" ca="1" si="47"/>
        <v xml:space="preserve">5 YEAR 10 MONTH 19 DAY </v>
      </c>
    </row>
    <row r="223" spans="1:13">
      <c r="A223" s="13">
        <f t="shared" ca="1" si="36"/>
        <v>42199</v>
      </c>
      <c r="B223">
        <f t="shared" ca="1" si="37"/>
        <v>7</v>
      </c>
      <c r="C223">
        <f t="shared" ca="1" si="48"/>
        <v>2015</v>
      </c>
      <c r="D223">
        <f t="shared" ca="1" si="49"/>
        <v>14</v>
      </c>
      <c r="E223" t="str">
        <f t="shared" ca="1" si="50"/>
        <v>Tuesday</v>
      </c>
      <c r="F223" s="12">
        <v>45937</v>
      </c>
      <c r="G223">
        <f t="shared" si="41"/>
        <v>7</v>
      </c>
      <c r="H223">
        <f t="shared" si="42"/>
        <v>10</v>
      </c>
      <c r="I223">
        <f t="shared" si="43"/>
        <v>2025</v>
      </c>
      <c r="J223" t="str">
        <f t="shared" si="44"/>
        <v>Tuesday</v>
      </c>
      <c r="K223" t="str">
        <f t="shared" si="45"/>
        <v>October</v>
      </c>
      <c r="L223" t="str">
        <f t="shared" ca="1" si="46"/>
        <v>0 YEAR 7 MONTH 15 DAY</v>
      </c>
      <c r="M223" t="str">
        <f t="shared" ca="1" si="47"/>
        <v xml:space="preserve">10 YEAR 10 MONTH 8 DAY </v>
      </c>
    </row>
    <row r="224" spans="1:13">
      <c r="A224" s="13">
        <f t="shared" ca="1" si="36"/>
        <v>45365</v>
      </c>
      <c r="B224">
        <f t="shared" ca="1" si="37"/>
        <v>3</v>
      </c>
      <c r="C224">
        <f t="shared" ca="1" si="48"/>
        <v>2024</v>
      </c>
      <c r="D224">
        <f t="shared" ca="1" si="49"/>
        <v>14</v>
      </c>
      <c r="E224" t="str">
        <f t="shared" ca="1" si="50"/>
        <v>Thursday</v>
      </c>
      <c r="F224" s="12">
        <v>45938</v>
      </c>
      <c r="G224">
        <f t="shared" si="41"/>
        <v>8</v>
      </c>
      <c r="H224">
        <f t="shared" si="42"/>
        <v>10</v>
      </c>
      <c r="I224">
        <f t="shared" si="43"/>
        <v>2025</v>
      </c>
      <c r="J224" t="str">
        <f t="shared" si="44"/>
        <v>Wednesday</v>
      </c>
      <c r="K224" t="str">
        <f t="shared" si="45"/>
        <v>October</v>
      </c>
      <c r="L224" t="str">
        <f t="shared" ca="1" si="46"/>
        <v>0 YEAR 7 MONTH 14 DAY</v>
      </c>
      <c r="M224" t="str">
        <f t="shared" ca="1" si="47"/>
        <v xml:space="preserve">2 YEAR 2 MONTH 8 DAY </v>
      </c>
    </row>
    <row r="225" spans="1:13">
      <c r="A225" s="13">
        <f t="shared" ca="1" si="36"/>
        <v>41748</v>
      </c>
      <c r="B225">
        <f t="shared" ca="1" si="37"/>
        <v>4</v>
      </c>
      <c r="C225">
        <f t="shared" ca="1" si="48"/>
        <v>2014</v>
      </c>
      <c r="D225">
        <f t="shared" ca="1" si="49"/>
        <v>19</v>
      </c>
      <c r="E225" t="str">
        <f t="shared" ca="1" si="50"/>
        <v>Saturday</v>
      </c>
      <c r="F225" s="12">
        <v>45939</v>
      </c>
      <c r="G225">
        <f t="shared" si="41"/>
        <v>9</v>
      </c>
      <c r="H225">
        <f t="shared" si="42"/>
        <v>10</v>
      </c>
      <c r="I225">
        <f t="shared" si="43"/>
        <v>2025</v>
      </c>
      <c r="J225" t="str">
        <f t="shared" si="44"/>
        <v>Thursday</v>
      </c>
      <c r="K225" t="str">
        <f t="shared" si="45"/>
        <v>October</v>
      </c>
      <c r="L225" t="str">
        <f t="shared" ca="1" si="46"/>
        <v>0 YEAR 7 MONTH 13 DAY</v>
      </c>
      <c r="M225" t="str">
        <f t="shared" ca="1" si="47"/>
        <v xml:space="preserve">12 YEAR 1 MONTH 3 DAY </v>
      </c>
    </row>
    <row r="226" spans="1:13">
      <c r="A226" s="13">
        <f t="shared" ca="1" si="36"/>
        <v>42223</v>
      </c>
      <c r="B226">
        <f t="shared" ca="1" si="37"/>
        <v>8</v>
      </c>
      <c r="C226">
        <f t="shared" ca="1" si="48"/>
        <v>2015</v>
      </c>
      <c r="D226">
        <f t="shared" ca="1" si="49"/>
        <v>7</v>
      </c>
      <c r="E226" t="str">
        <f t="shared" ca="1" si="50"/>
        <v>Friday</v>
      </c>
      <c r="F226" s="12">
        <v>45940</v>
      </c>
      <c r="G226">
        <f t="shared" si="41"/>
        <v>10</v>
      </c>
      <c r="H226">
        <f t="shared" si="42"/>
        <v>10</v>
      </c>
      <c r="I226">
        <f t="shared" si="43"/>
        <v>2025</v>
      </c>
      <c r="J226" t="str">
        <f t="shared" si="44"/>
        <v>Friday</v>
      </c>
      <c r="K226" t="str">
        <f t="shared" si="45"/>
        <v>October</v>
      </c>
      <c r="L226" t="str">
        <f t="shared" ca="1" si="46"/>
        <v>0 YEAR 7 MONTH 12 DAY</v>
      </c>
      <c r="M226" t="str">
        <f t="shared" ca="1" si="47"/>
        <v xml:space="preserve">10 YEAR 9 MONTH 15 DAY </v>
      </c>
    </row>
    <row r="227" spans="1:13">
      <c r="A227" s="13">
        <f t="shared" ca="1" si="36"/>
        <v>43314</v>
      </c>
      <c r="B227">
        <f t="shared" ca="1" si="37"/>
        <v>8</v>
      </c>
      <c r="C227">
        <f t="shared" ca="1" si="48"/>
        <v>2018</v>
      </c>
      <c r="D227">
        <f t="shared" ca="1" si="49"/>
        <v>2</v>
      </c>
      <c r="E227" t="str">
        <f t="shared" ca="1" si="50"/>
        <v>Thursday</v>
      </c>
      <c r="F227" s="12">
        <v>45941</v>
      </c>
      <c r="G227">
        <f t="shared" si="41"/>
        <v>11</v>
      </c>
      <c r="H227">
        <f t="shared" si="42"/>
        <v>10</v>
      </c>
      <c r="I227">
        <f t="shared" si="43"/>
        <v>2025</v>
      </c>
      <c r="J227" t="str">
        <f t="shared" si="44"/>
        <v>Saturday</v>
      </c>
      <c r="K227" t="str">
        <f t="shared" si="45"/>
        <v>October</v>
      </c>
      <c r="L227" t="str">
        <f t="shared" ca="1" si="46"/>
        <v>0 YEAR 7 MONTH 11 DAY</v>
      </c>
      <c r="M227" t="str">
        <f t="shared" ca="1" si="47"/>
        <v xml:space="preserve">7 YEAR 9 MONTH 20 DAY </v>
      </c>
    </row>
    <row r="228" spans="1:13">
      <c r="A228" s="13">
        <f t="shared" ca="1" si="36"/>
        <v>43678</v>
      </c>
      <c r="B228">
        <f t="shared" ca="1" si="37"/>
        <v>8</v>
      </c>
      <c r="C228">
        <f t="shared" ca="1" si="48"/>
        <v>2019</v>
      </c>
      <c r="D228">
        <f t="shared" ca="1" si="49"/>
        <v>1</v>
      </c>
      <c r="E228" t="str">
        <f t="shared" ca="1" si="50"/>
        <v>Thursday</v>
      </c>
      <c r="F228" s="12">
        <v>45942</v>
      </c>
      <c r="G228">
        <f t="shared" si="41"/>
        <v>12</v>
      </c>
      <c r="H228">
        <f t="shared" si="42"/>
        <v>10</v>
      </c>
      <c r="I228">
        <f t="shared" si="43"/>
        <v>2025</v>
      </c>
      <c r="J228" t="str">
        <f t="shared" si="44"/>
        <v>Sunday</v>
      </c>
      <c r="K228" t="str">
        <f t="shared" si="45"/>
        <v>October</v>
      </c>
      <c r="L228" t="str">
        <f t="shared" ca="1" si="46"/>
        <v>0 YEAR 7 MONTH 10 DAY</v>
      </c>
      <c r="M228" t="str">
        <f t="shared" ca="1" si="47"/>
        <v xml:space="preserve">6 YEAR 9 MONTH 21 DAY </v>
      </c>
    </row>
    <row r="229" spans="1:13">
      <c r="A229" s="13">
        <f t="shared" ca="1" si="36"/>
        <v>43192</v>
      </c>
      <c r="B229">
        <f t="shared" ca="1" si="37"/>
        <v>4</v>
      </c>
      <c r="C229">
        <f t="shared" ca="1" si="48"/>
        <v>2018</v>
      </c>
      <c r="D229">
        <f t="shared" ca="1" si="49"/>
        <v>2</v>
      </c>
      <c r="E229" t="str">
        <f t="shared" ca="1" si="50"/>
        <v>Monday</v>
      </c>
      <c r="F229" s="12">
        <v>45943</v>
      </c>
      <c r="G229">
        <f t="shared" si="41"/>
        <v>13</v>
      </c>
      <c r="H229">
        <f t="shared" si="42"/>
        <v>10</v>
      </c>
      <c r="I229">
        <f t="shared" si="43"/>
        <v>2025</v>
      </c>
      <c r="J229" t="str">
        <f t="shared" si="44"/>
        <v>Monday</v>
      </c>
      <c r="K229" t="str">
        <f t="shared" si="45"/>
        <v>October</v>
      </c>
      <c r="L229" t="str">
        <f t="shared" ca="1" si="46"/>
        <v>0 YEAR 7 MONTH 9 DAY</v>
      </c>
      <c r="M229" t="str">
        <f t="shared" ca="1" si="47"/>
        <v xml:space="preserve">8 YEAR 1 MONTH 20 DAY </v>
      </c>
    </row>
    <row r="230" spans="1:13">
      <c r="A230" s="13">
        <f t="shared" ca="1" si="36"/>
        <v>45356</v>
      </c>
      <c r="B230">
        <f t="shared" ca="1" si="37"/>
        <v>3</v>
      </c>
      <c r="C230">
        <f t="shared" ca="1" si="48"/>
        <v>2024</v>
      </c>
      <c r="D230">
        <f t="shared" ca="1" si="49"/>
        <v>5</v>
      </c>
      <c r="E230" t="str">
        <f t="shared" ca="1" si="50"/>
        <v>Tuesday</v>
      </c>
      <c r="F230" s="12">
        <v>45944</v>
      </c>
      <c r="G230">
        <f t="shared" si="41"/>
        <v>14</v>
      </c>
      <c r="H230">
        <f t="shared" si="42"/>
        <v>10</v>
      </c>
      <c r="I230">
        <f t="shared" si="43"/>
        <v>2025</v>
      </c>
      <c r="J230" t="str">
        <f t="shared" si="44"/>
        <v>Tuesday</v>
      </c>
      <c r="K230" t="str">
        <f t="shared" si="45"/>
        <v>October</v>
      </c>
      <c r="L230" t="str">
        <f t="shared" ca="1" si="46"/>
        <v>0 YEAR 7 MONTH 8 DAY</v>
      </c>
      <c r="M230" t="str">
        <f t="shared" ca="1" si="47"/>
        <v xml:space="preserve">2 YEAR 2 MONTH 17 DAY </v>
      </c>
    </row>
    <row r="231" spans="1:13">
      <c r="A231" s="13">
        <f t="shared" ca="1" si="36"/>
        <v>38318</v>
      </c>
      <c r="B231">
        <f t="shared" ca="1" si="37"/>
        <v>11</v>
      </c>
      <c r="C231">
        <f t="shared" ca="1" si="48"/>
        <v>2004</v>
      </c>
      <c r="D231">
        <f t="shared" ca="1" si="49"/>
        <v>27</v>
      </c>
      <c r="E231" t="str">
        <f t="shared" ca="1" si="50"/>
        <v>Saturday</v>
      </c>
      <c r="F231" s="12">
        <v>45945</v>
      </c>
      <c r="G231">
        <f t="shared" si="41"/>
        <v>15</v>
      </c>
      <c r="H231">
        <f t="shared" si="42"/>
        <v>10</v>
      </c>
      <c r="I231">
        <f t="shared" si="43"/>
        <v>2025</v>
      </c>
      <c r="J231" t="str">
        <f t="shared" si="44"/>
        <v>Wednesday</v>
      </c>
      <c r="K231" t="str">
        <f t="shared" si="45"/>
        <v>October</v>
      </c>
      <c r="L231" t="str">
        <f t="shared" ca="1" si="46"/>
        <v>0 YEAR 7 MONTH 7 DAY</v>
      </c>
      <c r="M231" t="str">
        <f t="shared" ca="1" si="47"/>
        <v xml:space="preserve">21 YEAR 5 MONTH 25 DAY </v>
      </c>
    </row>
    <row r="232" spans="1:13">
      <c r="A232" s="13">
        <f t="shared" ca="1" si="36"/>
        <v>41413</v>
      </c>
      <c r="B232">
        <f t="shared" ca="1" si="37"/>
        <v>5</v>
      </c>
      <c r="C232">
        <f t="shared" ca="1" si="48"/>
        <v>2013</v>
      </c>
      <c r="D232">
        <f t="shared" ca="1" si="49"/>
        <v>19</v>
      </c>
      <c r="E232" t="str">
        <f t="shared" ca="1" si="50"/>
        <v>Sunday</v>
      </c>
      <c r="F232" s="12">
        <v>45946</v>
      </c>
      <c r="G232">
        <f t="shared" si="41"/>
        <v>16</v>
      </c>
      <c r="H232">
        <f t="shared" si="42"/>
        <v>10</v>
      </c>
      <c r="I232">
        <f t="shared" si="43"/>
        <v>2025</v>
      </c>
      <c r="J232" t="str">
        <f t="shared" si="44"/>
        <v>Thursday</v>
      </c>
      <c r="K232" t="str">
        <f t="shared" si="45"/>
        <v>October</v>
      </c>
      <c r="L232" t="str">
        <f t="shared" ca="1" si="46"/>
        <v>0 YEAR 7 MONTH 6 DAY</v>
      </c>
      <c r="M232" t="str">
        <f t="shared" ca="1" si="47"/>
        <v xml:space="preserve">13 YEAR 0 MONTH 3 DAY </v>
      </c>
    </row>
    <row r="233" spans="1:13">
      <c r="A233" s="13">
        <f t="shared" ca="1" si="36"/>
        <v>45155</v>
      </c>
      <c r="B233">
        <f t="shared" ca="1" si="37"/>
        <v>8</v>
      </c>
      <c r="C233">
        <f t="shared" ca="1" si="48"/>
        <v>2023</v>
      </c>
      <c r="D233">
        <f t="shared" ca="1" si="49"/>
        <v>17</v>
      </c>
      <c r="E233" t="str">
        <f t="shared" ca="1" si="50"/>
        <v>Thursday</v>
      </c>
      <c r="F233" s="12">
        <v>45947</v>
      </c>
      <c r="G233">
        <f t="shared" si="41"/>
        <v>17</v>
      </c>
      <c r="H233">
        <f t="shared" si="42"/>
        <v>10</v>
      </c>
      <c r="I233">
        <f t="shared" si="43"/>
        <v>2025</v>
      </c>
      <c r="J233" t="str">
        <f t="shared" si="44"/>
        <v>Friday</v>
      </c>
      <c r="K233" t="str">
        <f t="shared" si="45"/>
        <v>October</v>
      </c>
      <c r="L233" t="str">
        <f t="shared" ca="1" si="46"/>
        <v>0 YEAR 7 MONTH 5 DAY</v>
      </c>
      <c r="M233" t="str">
        <f t="shared" ca="1" si="47"/>
        <v xml:space="preserve">2 YEAR 9 MONTH 5 DAY </v>
      </c>
    </row>
    <row r="234" spans="1:13">
      <c r="A234" s="13">
        <f t="shared" ca="1" si="36"/>
        <v>38907</v>
      </c>
      <c r="B234">
        <f t="shared" ca="1" si="37"/>
        <v>7</v>
      </c>
      <c r="C234">
        <f t="shared" ca="1" si="48"/>
        <v>2006</v>
      </c>
      <c r="D234">
        <f t="shared" ca="1" si="49"/>
        <v>9</v>
      </c>
      <c r="E234" t="str">
        <f t="shared" ca="1" si="50"/>
        <v>Sunday</v>
      </c>
      <c r="F234" s="12">
        <v>45948</v>
      </c>
      <c r="G234">
        <f t="shared" si="41"/>
        <v>18</v>
      </c>
      <c r="H234">
        <f t="shared" si="42"/>
        <v>10</v>
      </c>
      <c r="I234">
        <f t="shared" si="43"/>
        <v>2025</v>
      </c>
      <c r="J234" t="str">
        <f t="shared" si="44"/>
        <v>Saturday</v>
      </c>
      <c r="K234" t="str">
        <f t="shared" si="45"/>
        <v>October</v>
      </c>
      <c r="L234" t="str">
        <f t="shared" ca="1" si="46"/>
        <v>0 YEAR 7 MONTH 4 DAY</v>
      </c>
      <c r="M234" t="str">
        <f t="shared" ca="1" si="47"/>
        <v xml:space="preserve">19 YEAR 10 MONTH 13 DAY </v>
      </c>
    </row>
    <row r="235" spans="1:13">
      <c r="A235" s="13">
        <f t="shared" ca="1" si="36"/>
        <v>38540</v>
      </c>
      <c r="B235">
        <f t="shared" ca="1" si="37"/>
        <v>7</v>
      </c>
      <c r="C235">
        <f t="shared" ca="1" si="48"/>
        <v>2005</v>
      </c>
      <c r="D235">
        <f t="shared" ca="1" si="49"/>
        <v>7</v>
      </c>
      <c r="E235" t="str">
        <f t="shared" ca="1" si="50"/>
        <v>Thursday</v>
      </c>
      <c r="F235" s="12">
        <v>45949</v>
      </c>
      <c r="G235">
        <f t="shared" si="41"/>
        <v>19</v>
      </c>
      <c r="H235">
        <f t="shared" si="42"/>
        <v>10</v>
      </c>
      <c r="I235">
        <f t="shared" si="43"/>
        <v>2025</v>
      </c>
      <c r="J235" t="str">
        <f t="shared" si="44"/>
        <v>Sunday</v>
      </c>
      <c r="K235" t="str">
        <f t="shared" si="45"/>
        <v>October</v>
      </c>
      <c r="L235" t="str">
        <f t="shared" ca="1" si="46"/>
        <v>0 YEAR 7 MONTH 3 DAY</v>
      </c>
      <c r="M235" t="str">
        <f t="shared" ca="1" si="47"/>
        <v xml:space="preserve">20 YEAR 10 MONTH 15 DAY </v>
      </c>
    </row>
    <row r="236" spans="1:13">
      <c r="A236" s="13">
        <f t="shared" ca="1" si="36"/>
        <v>44989</v>
      </c>
      <c r="B236">
        <f t="shared" ca="1" si="37"/>
        <v>3</v>
      </c>
      <c r="C236">
        <f t="shared" ca="1" si="48"/>
        <v>2023</v>
      </c>
      <c r="D236">
        <f t="shared" ca="1" si="49"/>
        <v>4</v>
      </c>
      <c r="E236" t="str">
        <f t="shared" ca="1" si="50"/>
        <v>Saturday</v>
      </c>
      <c r="F236" s="12">
        <v>45950</v>
      </c>
      <c r="G236">
        <f t="shared" si="41"/>
        <v>20</v>
      </c>
      <c r="H236">
        <f t="shared" si="42"/>
        <v>10</v>
      </c>
      <c r="I236">
        <f t="shared" si="43"/>
        <v>2025</v>
      </c>
      <c r="J236" t="str">
        <f t="shared" si="44"/>
        <v>Monday</v>
      </c>
      <c r="K236" t="str">
        <f t="shared" si="45"/>
        <v>October</v>
      </c>
      <c r="L236" t="str">
        <f t="shared" ca="1" si="46"/>
        <v>0 YEAR 7 MONTH 2 DAY</v>
      </c>
      <c r="M236" t="str">
        <f t="shared" ca="1" si="47"/>
        <v xml:space="preserve">3 YEAR 2 MONTH 18 DAY </v>
      </c>
    </row>
    <row r="237" spans="1:13">
      <c r="A237" s="13">
        <f t="shared" ca="1" si="36"/>
        <v>38268</v>
      </c>
      <c r="B237">
        <f t="shared" ca="1" si="37"/>
        <v>10</v>
      </c>
      <c r="C237">
        <f t="shared" ca="1" si="48"/>
        <v>2004</v>
      </c>
      <c r="D237">
        <f t="shared" ca="1" si="49"/>
        <v>8</v>
      </c>
      <c r="E237" t="str">
        <f t="shared" ca="1" si="50"/>
        <v>Friday</v>
      </c>
      <c r="F237" s="12">
        <v>45951</v>
      </c>
      <c r="G237">
        <f t="shared" si="41"/>
        <v>21</v>
      </c>
      <c r="H237">
        <f t="shared" si="42"/>
        <v>10</v>
      </c>
      <c r="I237">
        <f t="shared" si="43"/>
        <v>2025</v>
      </c>
      <c r="J237" t="str">
        <f t="shared" si="44"/>
        <v>Tuesday</v>
      </c>
      <c r="K237" t="str">
        <f t="shared" si="45"/>
        <v>October</v>
      </c>
      <c r="L237" t="str">
        <f t="shared" ca="1" si="46"/>
        <v>0 YEAR 7 MONTH 1 DAY</v>
      </c>
      <c r="M237" t="str">
        <f t="shared" ca="1" si="47"/>
        <v xml:space="preserve">21 YEAR 7 MONTH 14 DAY </v>
      </c>
    </row>
    <row r="238" spans="1:13">
      <c r="A238" s="13">
        <f t="shared" ca="1" si="36"/>
        <v>44954</v>
      </c>
      <c r="B238">
        <f t="shared" ca="1" si="37"/>
        <v>1</v>
      </c>
      <c r="C238">
        <f t="shared" ca="1" si="48"/>
        <v>2023</v>
      </c>
      <c r="D238">
        <f t="shared" ca="1" si="49"/>
        <v>28</v>
      </c>
      <c r="E238" t="str">
        <f t="shared" ca="1" si="50"/>
        <v>Saturday</v>
      </c>
      <c r="F238" s="12">
        <v>45952</v>
      </c>
      <c r="G238">
        <f t="shared" si="41"/>
        <v>22</v>
      </c>
      <c r="H238">
        <f t="shared" si="42"/>
        <v>10</v>
      </c>
      <c r="I238">
        <f t="shared" si="43"/>
        <v>2025</v>
      </c>
      <c r="J238" t="str">
        <f t="shared" si="44"/>
        <v>Wednesday</v>
      </c>
      <c r="K238" t="str">
        <f t="shared" si="45"/>
        <v>October</v>
      </c>
      <c r="L238" t="str">
        <f t="shared" ca="1" si="46"/>
        <v>0 YEAR 7 MONTH 0 DAY</v>
      </c>
      <c r="M238" t="str">
        <f t="shared" ca="1" si="47"/>
        <v xml:space="preserve">3 YEAR 3 MONTH 24 DAY </v>
      </c>
    </row>
    <row r="239" spans="1:13">
      <c r="A239" s="13">
        <f t="shared" ca="1" si="36"/>
        <v>39575</v>
      </c>
      <c r="B239">
        <f t="shared" ca="1" si="37"/>
        <v>5</v>
      </c>
      <c r="C239">
        <f t="shared" ca="1" si="48"/>
        <v>2008</v>
      </c>
      <c r="D239">
        <f t="shared" ca="1" si="49"/>
        <v>7</v>
      </c>
      <c r="E239" t="str">
        <f t="shared" ca="1" si="50"/>
        <v>Wednesday</v>
      </c>
      <c r="F239" s="12">
        <v>45953</v>
      </c>
      <c r="G239">
        <f t="shared" si="41"/>
        <v>23</v>
      </c>
      <c r="H239">
        <f t="shared" si="42"/>
        <v>10</v>
      </c>
      <c r="I239">
        <f t="shared" si="43"/>
        <v>2025</v>
      </c>
      <c r="J239" t="str">
        <f t="shared" si="44"/>
        <v>Thursday</v>
      </c>
      <c r="K239" t="str">
        <f t="shared" si="45"/>
        <v>October</v>
      </c>
      <c r="L239" t="str">
        <f t="shared" ca="1" si="46"/>
        <v>0 YEAR 6 MONTH 29 DAY</v>
      </c>
      <c r="M239" t="str">
        <f t="shared" ca="1" si="47"/>
        <v xml:space="preserve">18 YEAR 0 MONTH 15 DAY </v>
      </c>
    </row>
    <row r="240" spans="1:13">
      <c r="A240" s="13">
        <f t="shared" ca="1" si="36"/>
        <v>42787</v>
      </c>
      <c r="B240">
        <f t="shared" ca="1" si="37"/>
        <v>2</v>
      </c>
      <c r="C240">
        <f t="shared" ca="1" si="48"/>
        <v>2017</v>
      </c>
      <c r="D240">
        <f t="shared" ca="1" si="49"/>
        <v>21</v>
      </c>
      <c r="E240" t="str">
        <f t="shared" ca="1" si="50"/>
        <v>Tuesday</v>
      </c>
      <c r="F240" s="12">
        <v>45954</v>
      </c>
      <c r="G240">
        <f t="shared" si="41"/>
        <v>24</v>
      </c>
      <c r="H240">
        <f t="shared" si="42"/>
        <v>10</v>
      </c>
      <c r="I240">
        <f t="shared" si="43"/>
        <v>2025</v>
      </c>
      <c r="J240" t="str">
        <f t="shared" si="44"/>
        <v>Friday</v>
      </c>
      <c r="K240" t="str">
        <f t="shared" si="45"/>
        <v>October</v>
      </c>
      <c r="L240" t="str">
        <f t="shared" ca="1" si="46"/>
        <v>0 YEAR 6 MONTH 28 DAY</v>
      </c>
      <c r="M240" t="str">
        <f t="shared" ca="1" si="47"/>
        <v xml:space="preserve">9 YEAR 3 MONTH 1 DAY </v>
      </c>
    </row>
    <row r="241" spans="1:13">
      <c r="A241" s="13">
        <f t="shared" ca="1" si="36"/>
        <v>41755</v>
      </c>
      <c r="B241">
        <f t="shared" ca="1" si="37"/>
        <v>4</v>
      </c>
      <c r="C241">
        <f t="shared" ca="1" si="48"/>
        <v>2014</v>
      </c>
      <c r="D241">
        <f t="shared" ca="1" si="49"/>
        <v>26</v>
      </c>
      <c r="E241" t="str">
        <f t="shared" ca="1" si="50"/>
        <v>Saturday</v>
      </c>
      <c r="F241" s="12">
        <v>45955</v>
      </c>
      <c r="G241">
        <f t="shared" si="41"/>
        <v>25</v>
      </c>
      <c r="H241">
        <f t="shared" si="42"/>
        <v>10</v>
      </c>
      <c r="I241">
        <f t="shared" si="43"/>
        <v>2025</v>
      </c>
      <c r="J241" t="str">
        <f t="shared" si="44"/>
        <v>Saturday</v>
      </c>
      <c r="K241" t="str">
        <f t="shared" si="45"/>
        <v>October</v>
      </c>
      <c r="L241" t="str">
        <f t="shared" ca="1" si="46"/>
        <v>0 YEAR 6 MONTH 27 DAY</v>
      </c>
      <c r="M241" t="str">
        <f t="shared" ca="1" si="47"/>
        <v xml:space="preserve">12 YEAR 0 MONTH 26 DAY </v>
      </c>
    </row>
    <row r="242" spans="1:13">
      <c r="A242" s="13">
        <f t="shared" ca="1" si="36"/>
        <v>45968</v>
      </c>
      <c r="B242">
        <f t="shared" ca="1" si="37"/>
        <v>11</v>
      </c>
      <c r="C242">
        <f t="shared" ca="1" si="48"/>
        <v>2025</v>
      </c>
      <c r="D242">
        <f t="shared" ca="1" si="49"/>
        <v>7</v>
      </c>
      <c r="E242" t="str">
        <f t="shared" ca="1" si="50"/>
        <v>Friday</v>
      </c>
      <c r="F242" s="12">
        <v>45956</v>
      </c>
      <c r="G242">
        <f t="shared" si="41"/>
        <v>26</v>
      </c>
      <c r="H242">
        <f t="shared" si="42"/>
        <v>10</v>
      </c>
      <c r="I242">
        <f t="shared" si="43"/>
        <v>2025</v>
      </c>
      <c r="J242" t="str">
        <f t="shared" si="44"/>
        <v>Sunday</v>
      </c>
      <c r="K242" t="str">
        <f t="shared" si="45"/>
        <v>October</v>
      </c>
      <c r="L242" t="str">
        <f t="shared" ca="1" si="46"/>
        <v>0 YEAR 6 MONTH 26 DAY</v>
      </c>
      <c r="M242" t="str">
        <f t="shared" ca="1" si="47"/>
        <v xml:space="preserve">0 YEAR 6 MONTH 15 DAY </v>
      </c>
    </row>
    <row r="243" spans="1:13">
      <c r="A243" s="13">
        <f t="shared" ca="1" si="36"/>
        <v>41979</v>
      </c>
      <c r="B243">
        <f t="shared" ca="1" si="37"/>
        <v>12</v>
      </c>
      <c r="C243">
        <f t="shared" ca="1" si="48"/>
        <v>2014</v>
      </c>
      <c r="D243">
        <f t="shared" ca="1" si="49"/>
        <v>6</v>
      </c>
      <c r="E243" t="str">
        <f t="shared" ca="1" si="50"/>
        <v>Saturday</v>
      </c>
      <c r="F243" s="12">
        <v>45957</v>
      </c>
      <c r="G243">
        <f t="shared" si="41"/>
        <v>27</v>
      </c>
      <c r="H243">
        <f t="shared" si="42"/>
        <v>10</v>
      </c>
      <c r="I243">
        <f t="shared" si="43"/>
        <v>2025</v>
      </c>
      <c r="J243" t="str">
        <f t="shared" si="44"/>
        <v>Monday</v>
      </c>
      <c r="K243" t="str">
        <f t="shared" si="45"/>
        <v>October</v>
      </c>
      <c r="L243" t="str">
        <f t="shared" ca="1" si="46"/>
        <v>0 YEAR 6 MONTH 25 DAY</v>
      </c>
      <c r="M243" t="str">
        <f t="shared" ca="1" si="47"/>
        <v xml:space="preserve">11 YEAR 5 MONTH 16 DAY </v>
      </c>
    </row>
    <row r="244" spans="1:13">
      <c r="A244" s="13">
        <f t="shared" ca="1" si="36"/>
        <v>39827</v>
      </c>
      <c r="B244">
        <f t="shared" ca="1" si="37"/>
        <v>1</v>
      </c>
      <c r="C244">
        <f t="shared" ca="1" si="48"/>
        <v>2009</v>
      </c>
      <c r="D244">
        <f t="shared" ca="1" si="49"/>
        <v>14</v>
      </c>
      <c r="E244" t="str">
        <f t="shared" ca="1" si="50"/>
        <v>Wednesday</v>
      </c>
      <c r="F244" s="12">
        <v>45958</v>
      </c>
      <c r="G244">
        <f t="shared" si="41"/>
        <v>28</v>
      </c>
      <c r="H244">
        <f t="shared" si="42"/>
        <v>10</v>
      </c>
      <c r="I244">
        <f t="shared" si="43"/>
        <v>2025</v>
      </c>
      <c r="J244" t="str">
        <f t="shared" si="44"/>
        <v>Tuesday</v>
      </c>
      <c r="K244" t="str">
        <f t="shared" si="45"/>
        <v>October</v>
      </c>
      <c r="L244" t="str">
        <f t="shared" ca="1" si="46"/>
        <v>0 YEAR 6 MONTH 24 DAY</v>
      </c>
      <c r="M244" t="str">
        <f t="shared" ca="1" si="47"/>
        <v xml:space="preserve">17 YEAR 4 MONTH 8 DAY </v>
      </c>
    </row>
    <row r="245" spans="1:13">
      <c r="A245" s="13">
        <f t="shared" ca="1" si="36"/>
        <v>38347</v>
      </c>
      <c r="B245">
        <f t="shared" ca="1" si="37"/>
        <v>12</v>
      </c>
      <c r="C245">
        <f t="shared" ca="1" si="48"/>
        <v>2004</v>
      </c>
      <c r="D245">
        <f t="shared" ca="1" si="49"/>
        <v>26</v>
      </c>
      <c r="E245" t="str">
        <f t="shared" ca="1" si="50"/>
        <v>Sunday</v>
      </c>
      <c r="F245" s="12">
        <v>45959</v>
      </c>
      <c r="G245">
        <f t="shared" si="41"/>
        <v>29</v>
      </c>
      <c r="H245">
        <f t="shared" si="42"/>
        <v>10</v>
      </c>
      <c r="I245">
        <f t="shared" si="43"/>
        <v>2025</v>
      </c>
      <c r="J245" t="str">
        <f t="shared" si="44"/>
        <v>Wednesday</v>
      </c>
      <c r="K245" t="str">
        <f t="shared" si="45"/>
        <v>October</v>
      </c>
      <c r="L245" t="str">
        <f t="shared" ca="1" si="46"/>
        <v>0 YEAR 6 MONTH 23 DAY</v>
      </c>
      <c r="M245" t="str">
        <f t="shared" ca="1" si="47"/>
        <v xml:space="preserve">21 YEAR 4 MONTH 26 DAY </v>
      </c>
    </row>
    <row r="246" spans="1:13">
      <c r="A246" s="13">
        <f t="shared" ca="1" si="36"/>
        <v>45765</v>
      </c>
      <c r="B246">
        <f t="shared" ca="1" si="37"/>
        <v>4</v>
      </c>
      <c r="C246">
        <f t="shared" ca="1" si="48"/>
        <v>2025</v>
      </c>
      <c r="D246">
        <f t="shared" ca="1" si="49"/>
        <v>18</v>
      </c>
      <c r="E246" t="str">
        <f t="shared" ca="1" si="50"/>
        <v>Friday</v>
      </c>
      <c r="F246" s="12">
        <v>45960</v>
      </c>
      <c r="G246">
        <f t="shared" si="41"/>
        <v>30</v>
      </c>
      <c r="H246">
        <f t="shared" si="42"/>
        <v>10</v>
      </c>
      <c r="I246">
        <f t="shared" si="43"/>
        <v>2025</v>
      </c>
      <c r="J246" t="str">
        <f t="shared" si="44"/>
        <v>Thursday</v>
      </c>
      <c r="K246" t="str">
        <f t="shared" si="45"/>
        <v>October</v>
      </c>
      <c r="L246" t="str">
        <f t="shared" ca="1" si="46"/>
        <v>0 YEAR 6 MONTH 22 DAY</v>
      </c>
      <c r="M246" t="str">
        <f t="shared" ca="1" si="47"/>
        <v xml:space="preserve">1 YEAR 1 MONTH 4 DAY </v>
      </c>
    </row>
    <row r="247" spans="1:13">
      <c r="A247" s="13">
        <f t="shared" ca="1" si="36"/>
        <v>41273</v>
      </c>
      <c r="B247">
        <f t="shared" ca="1" si="37"/>
        <v>12</v>
      </c>
      <c r="C247">
        <f t="shared" ca="1" si="48"/>
        <v>2012</v>
      </c>
      <c r="D247">
        <f t="shared" ca="1" si="49"/>
        <v>30</v>
      </c>
      <c r="E247" t="str">
        <f t="shared" ca="1" si="50"/>
        <v>Sunday</v>
      </c>
      <c r="F247" s="12">
        <v>45961</v>
      </c>
      <c r="G247">
        <f t="shared" si="41"/>
        <v>31</v>
      </c>
      <c r="H247">
        <f t="shared" si="42"/>
        <v>10</v>
      </c>
      <c r="I247">
        <f t="shared" si="43"/>
        <v>2025</v>
      </c>
      <c r="J247" t="str">
        <f t="shared" si="44"/>
        <v>Friday</v>
      </c>
      <c r="K247" t="str">
        <f t="shared" si="45"/>
        <v>October</v>
      </c>
      <c r="L247" t="str">
        <f t="shared" ca="1" si="46"/>
        <v>0 YEAR 6 MONTH 21 DAY</v>
      </c>
      <c r="M247" t="str">
        <f t="shared" ca="1" si="47"/>
        <v xml:space="preserve">13 YEAR 4 MONTH 22 DAY </v>
      </c>
    </row>
    <row r="248" spans="1:13">
      <c r="A248" s="13">
        <f t="shared" ca="1" si="36"/>
        <v>41934</v>
      </c>
      <c r="B248">
        <f t="shared" ca="1" si="37"/>
        <v>10</v>
      </c>
      <c r="C248">
        <f t="shared" ca="1" si="48"/>
        <v>2014</v>
      </c>
      <c r="D248">
        <f t="shared" ca="1" si="49"/>
        <v>22</v>
      </c>
      <c r="E248" t="str">
        <f t="shared" ca="1" si="50"/>
        <v>Wednesday</v>
      </c>
      <c r="F248" s="12">
        <v>45962</v>
      </c>
      <c r="G248">
        <f t="shared" si="41"/>
        <v>1</v>
      </c>
      <c r="H248">
        <f t="shared" si="42"/>
        <v>11</v>
      </c>
      <c r="I248">
        <f t="shared" si="43"/>
        <v>2025</v>
      </c>
      <c r="J248" t="str">
        <f t="shared" si="44"/>
        <v>Saturday</v>
      </c>
      <c r="K248" t="str">
        <f t="shared" si="45"/>
        <v>November</v>
      </c>
      <c r="L248" t="str">
        <f t="shared" ca="1" si="46"/>
        <v>0 YEAR 6 MONTH 21 DAY</v>
      </c>
      <c r="M248" t="str">
        <f t="shared" ca="1" si="47"/>
        <v xml:space="preserve">11 YEAR 7 MONTH 0 DAY </v>
      </c>
    </row>
    <row r="249" spans="1:13">
      <c r="A249" s="13">
        <f t="shared" ca="1" si="36"/>
        <v>42867</v>
      </c>
      <c r="B249">
        <f t="shared" ca="1" si="37"/>
        <v>5</v>
      </c>
      <c r="C249">
        <f t="shared" ca="1" si="48"/>
        <v>2017</v>
      </c>
      <c r="D249">
        <f t="shared" ca="1" si="49"/>
        <v>12</v>
      </c>
      <c r="E249" t="str">
        <f t="shared" ca="1" si="50"/>
        <v>Friday</v>
      </c>
      <c r="F249" s="12">
        <v>45963</v>
      </c>
      <c r="G249">
        <f t="shared" si="41"/>
        <v>2</v>
      </c>
      <c r="H249">
        <f t="shared" si="42"/>
        <v>11</v>
      </c>
      <c r="I249">
        <f t="shared" si="43"/>
        <v>2025</v>
      </c>
      <c r="J249" t="str">
        <f t="shared" si="44"/>
        <v>Sunday</v>
      </c>
      <c r="K249" t="str">
        <f t="shared" si="45"/>
        <v>November</v>
      </c>
      <c r="L249" t="str">
        <f t="shared" ca="1" si="46"/>
        <v>0 YEAR 6 MONTH 20 DAY</v>
      </c>
      <c r="M249" t="str">
        <f t="shared" ca="1" si="47"/>
        <v xml:space="preserve">9 YEAR 0 MONTH 10 DAY </v>
      </c>
    </row>
    <row r="250" spans="1:13">
      <c r="A250" s="13">
        <f t="shared" ca="1" si="36"/>
        <v>42117</v>
      </c>
      <c r="B250">
        <f t="shared" ca="1" si="37"/>
        <v>4</v>
      </c>
      <c r="C250">
        <f t="shared" ca="1" si="48"/>
        <v>2015</v>
      </c>
      <c r="D250">
        <f t="shared" ca="1" si="49"/>
        <v>23</v>
      </c>
      <c r="E250" t="str">
        <f t="shared" ca="1" si="50"/>
        <v>Thursday</v>
      </c>
      <c r="F250" s="12">
        <v>45964</v>
      </c>
      <c r="G250">
        <f t="shared" si="41"/>
        <v>3</v>
      </c>
      <c r="H250">
        <f t="shared" si="42"/>
        <v>11</v>
      </c>
      <c r="I250">
        <f t="shared" si="43"/>
        <v>2025</v>
      </c>
      <c r="J250" t="str">
        <f t="shared" si="44"/>
        <v>Monday</v>
      </c>
      <c r="K250" t="str">
        <f t="shared" si="45"/>
        <v>November</v>
      </c>
      <c r="L250" t="str">
        <f t="shared" ca="1" si="46"/>
        <v>0 YEAR 6 MONTH 19 DAY</v>
      </c>
      <c r="M250" t="str">
        <f t="shared" ca="1" si="47"/>
        <v xml:space="preserve">11 YEAR 0 MONTH 29 DAY </v>
      </c>
    </row>
    <row r="251" spans="1:13">
      <c r="A251" s="13">
        <f t="shared" ca="1" si="36"/>
        <v>39068</v>
      </c>
      <c r="B251">
        <f t="shared" ca="1" si="37"/>
        <v>12</v>
      </c>
      <c r="C251">
        <f t="shared" ca="1" si="48"/>
        <v>2006</v>
      </c>
      <c r="D251">
        <f t="shared" ca="1" si="49"/>
        <v>17</v>
      </c>
      <c r="E251" t="str">
        <f t="shared" ca="1" si="50"/>
        <v>Sunday</v>
      </c>
      <c r="F251" s="12">
        <v>45965</v>
      </c>
      <c r="G251">
        <f t="shared" si="41"/>
        <v>4</v>
      </c>
      <c r="H251">
        <f t="shared" si="42"/>
        <v>11</v>
      </c>
      <c r="I251">
        <f t="shared" si="43"/>
        <v>2025</v>
      </c>
      <c r="J251" t="str">
        <f t="shared" si="44"/>
        <v>Tuesday</v>
      </c>
      <c r="K251" t="str">
        <f t="shared" si="45"/>
        <v>November</v>
      </c>
      <c r="L251" t="str">
        <f t="shared" ca="1" si="46"/>
        <v>0 YEAR 6 MONTH 18 DAY</v>
      </c>
      <c r="M251" t="str">
        <f t="shared" ca="1" si="47"/>
        <v xml:space="preserve">19 YEAR 5 MONTH 5 DAY </v>
      </c>
    </row>
    <row r="252" spans="1:13">
      <c r="A252" s="13">
        <f t="shared" ca="1" si="36"/>
        <v>41443</v>
      </c>
      <c r="B252">
        <f t="shared" ca="1" si="37"/>
        <v>6</v>
      </c>
      <c r="C252">
        <f t="shared" ca="1" si="48"/>
        <v>2013</v>
      </c>
      <c r="D252">
        <f t="shared" ca="1" si="49"/>
        <v>18</v>
      </c>
      <c r="E252" t="str">
        <f t="shared" ca="1" si="50"/>
        <v>Tuesday</v>
      </c>
      <c r="F252" s="12">
        <v>45966</v>
      </c>
      <c r="G252">
        <f t="shared" si="41"/>
        <v>5</v>
      </c>
      <c r="H252">
        <f t="shared" si="42"/>
        <v>11</v>
      </c>
      <c r="I252">
        <f t="shared" si="43"/>
        <v>2025</v>
      </c>
      <c r="J252" t="str">
        <f t="shared" si="44"/>
        <v>Wednesday</v>
      </c>
      <c r="K252" t="str">
        <f t="shared" si="45"/>
        <v>November</v>
      </c>
      <c r="L252" t="str">
        <f t="shared" ca="1" si="46"/>
        <v>0 YEAR 6 MONTH 17 DAY</v>
      </c>
      <c r="M252" t="str">
        <f t="shared" ca="1" si="47"/>
        <v xml:space="preserve">12 YEAR 11 MONTH 4 DAY </v>
      </c>
    </row>
    <row r="253" spans="1:13">
      <c r="A253" s="13">
        <f t="shared" ca="1" si="36"/>
        <v>38749</v>
      </c>
      <c r="B253">
        <f t="shared" ca="1" si="37"/>
        <v>2</v>
      </c>
      <c r="C253">
        <f t="shared" ca="1" si="48"/>
        <v>2006</v>
      </c>
      <c r="D253">
        <f t="shared" ca="1" si="49"/>
        <v>1</v>
      </c>
      <c r="E253" t="str">
        <f t="shared" ca="1" si="50"/>
        <v>Wednesday</v>
      </c>
      <c r="F253" s="12">
        <v>45967</v>
      </c>
      <c r="G253">
        <f t="shared" si="41"/>
        <v>6</v>
      </c>
      <c r="H253">
        <f t="shared" si="42"/>
        <v>11</v>
      </c>
      <c r="I253">
        <f t="shared" si="43"/>
        <v>2025</v>
      </c>
      <c r="J253" t="str">
        <f t="shared" si="44"/>
        <v>Thursday</v>
      </c>
      <c r="K253" t="str">
        <f t="shared" si="45"/>
        <v>November</v>
      </c>
      <c r="L253" t="str">
        <f t="shared" ca="1" si="46"/>
        <v>0 YEAR 6 MONTH 16 DAY</v>
      </c>
      <c r="M253" t="str">
        <f t="shared" ca="1" si="47"/>
        <v xml:space="preserve">20 YEAR 3 MONTH 21 DAY </v>
      </c>
    </row>
    <row r="254" spans="1:13">
      <c r="A254" s="13">
        <f t="shared" ca="1" si="36"/>
        <v>41067</v>
      </c>
      <c r="B254">
        <f t="shared" ca="1" si="37"/>
        <v>6</v>
      </c>
      <c r="C254">
        <f t="shared" ca="1" si="48"/>
        <v>2012</v>
      </c>
      <c r="D254">
        <f t="shared" ca="1" si="49"/>
        <v>7</v>
      </c>
      <c r="E254" t="str">
        <f t="shared" ca="1" si="50"/>
        <v>Thursday</v>
      </c>
      <c r="F254" s="12">
        <v>45968</v>
      </c>
      <c r="G254">
        <f t="shared" si="41"/>
        <v>7</v>
      </c>
      <c r="H254">
        <f t="shared" si="42"/>
        <v>11</v>
      </c>
      <c r="I254">
        <f t="shared" si="43"/>
        <v>2025</v>
      </c>
      <c r="J254" t="str">
        <f t="shared" si="44"/>
        <v>Friday</v>
      </c>
      <c r="K254" t="str">
        <f t="shared" si="45"/>
        <v>November</v>
      </c>
      <c r="L254" t="str">
        <f t="shared" ca="1" si="46"/>
        <v>0 YEAR 6 MONTH 15 DAY</v>
      </c>
      <c r="M254" t="str">
        <f t="shared" ca="1" si="47"/>
        <v xml:space="preserve">13 YEAR 11 MONTH 15 DAY </v>
      </c>
    </row>
    <row r="255" spans="1:13">
      <c r="A255" s="13">
        <f t="shared" ca="1" si="36"/>
        <v>39378</v>
      </c>
      <c r="B255">
        <f t="shared" ca="1" si="37"/>
        <v>10</v>
      </c>
      <c r="C255">
        <f t="shared" ca="1" si="48"/>
        <v>2007</v>
      </c>
      <c r="D255">
        <f t="shared" ca="1" si="49"/>
        <v>23</v>
      </c>
      <c r="E255" t="str">
        <f t="shared" ca="1" si="50"/>
        <v>Tuesday</v>
      </c>
      <c r="F255" s="12">
        <v>45969</v>
      </c>
      <c r="G255">
        <f t="shared" si="41"/>
        <v>8</v>
      </c>
      <c r="H255">
        <f t="shared" si="42"/>
        <v>11</v>
      </c>
      <c r="I255">
        <f t="shared" si="43"/>
        <v>2025</v>
      </c>
      <c r="J255" t="str">
        <f t="shared" si="44"/>
        <v>Saturday</v>
      </c>
      <c r="K255" t="str">
        <f t="shared" si="45"/>
        <v>November</v>
      </c>
      <c r="L255" t="str">
        <f t="shared" ca="1" si="46"/>
        <v>0 YEAR 6 MONTH 14 DAY</v>
      </c>
      <c r="M255" t="str">
        <f t="shared" ca="1" si="47"/>
        <v xml:space="preserve">18 YEAR 6 MONTH 29 DAY </v>
      </c>
    </row>
    <row r="256" spans="1:13">
      <c r="A256" s="13">
        <f t="shared" ca="1" si="36"/>
        <v>45108</v>
      </c>
      <c r="B256">
        <f t="shared" ca="1" si="37"/>
        <v>7</v>
      </c>
      <c r="C256">
        <f t="shared" ca="1" si="48"/>
        <v>2023</v>
      </c>
      <c r="D256">
        <f t="shared" ca="1" si="49"/>
        <v>1</v>
      </c>
      <c r="E256" t="str">
        <f t="shared" ca="1" si="50"/>
        <v>Saturday</v>
      </c>
      <c r="F256" s="12">
        <v>45970</v>
      </c>
      <c r="G256">
        <f t="shared" si="41"/>
        <v>9</v>
      </c>
      <c r="H256">
        <f t="shared" si="42"/>
        <v>11</v>
      </c>
      <c r="I256">
        <f t="shared" si="43"/>
        <v>2025</v>
      </c>
      <c r="J256" t="str">
        <f t="shared" si="44"/>
        <v>Sunday</v>
      </c>
      <c r="K256" t="str">
        <f t="shared" si="45"/>
        <v>November</v>
      </c>
      <c r="L256" t="str">
        <f t="shared" ca="1" si="46"/>
        <v>0 YEAR 6 MONTH 13 DAY</v>
      </c>
      <c r="M256" t="str">
        <f t="shared" ca="1" si="47"/>
        <v xml:space="preserve">2 YEAR 10 MONTH 21 DAY </v>
      </c>
    </row>
    <row r="257" spans="1:13">
      <c r="A257" s="13">
        <f t="shared" ca="1" si="36"/>
        <v>43503</v>
      </c>
      <c r="B257">
        <f t="shared" ca="1" si="37"/>
        <v>2</v>
      </c>
      <c r="C257">
        <f t="shared" ca="1" si="48"/>
        <v>2019</v>
      </c>
      <c r="D257">
        <f t="shared" ca="1" si="49"/>
        <v>7</v>
      </c>
      <c r="E257" t="str">
        <f t="shared" ca="1" si="50"/>
        <v>Thursday</v>
      </c>
      <c r="F257" s="12">
        <v>45971</v>
      </c>
      <c r="G257">
        <f t="shared" si="41"/>
        <v>10</v>
      </c>
      <c r="H257">
        <f t="shared" si="42"/>
        <v>11</v>
      </c>
      <c r="I257">
        <f t="shared" si="43"/>
        <v>2025</v>
      </c>
      <c r="J257" t="str">
        <f t="shared" si="44"/>
        <v>Monday</v>
      </c>
      <c r="K257" t="str">
        <f t="shared" si="45"/>
        <v>November</v>
      </c>
      <c r="L257" t="str">
        <f t="shared" ca="1" si="46"/>
        <v>0 YEAR 6 MONTH 12 DAY</v>
      </c>
      <c r="M257" t="str">
        <f t="shared" ca="1" si="47"/>
        <v xml:space="preserve">7 YEAR 3 MONTH 15 DAY </v>
      </c>
    </row>
    <row r="258" spans="1:13">
      <c r="A258" s="13">
        <f t="shared" ca="1" si="36"/>
        <v>40978</v>
      </c>
      <c r="B258">
        <f t="shared" ca="1" si="37"/>
        <v>3</v>
      </c>
      <c r="C258">
        <f t="shared" ca="1" si="48"/>
        <v>2012</v>
      </c>
      <c r="D258">
        <f t="shared" ca="1" si="49"/>
        <v>10</v>
      </c>
      <c r="E258" t="str">
        <f t="shared" ca="1" si="50"/>
        <v>Saturday</v>
      </c>
      <c r="F258" s="12">
        <v>45972</v>
      </c>
      <c r="G258">
        <f t="shared" si="41"/>
        <v>11</v>
      </c>
      <c r="H258">
        <f t="shared" si="42"/>
        <v>11</v>
      </c>
      <c r="I258">
        <f t="shared" si="43"/>
        <v>2025</v>
      </c>
      <c r="J258" t="str">
        <f t="shared" si="44"/>
        <v>Tuesday</v>
      </c>
      <c r="K258" t="str">
        <f t="shared" si="45"/>
        <v>November</v>
      </c>
      <c r="L258" t="str">
        <f t="shared" ca="1" si="46"/>
        <v>0 YEAR 6 MONTH 11 DAY</v>
      </c>
      <c r="M258" t="str">
        <f t="shared" ca="1" si="47"/>
        <v xml:space="preserve">14 YEAR 2 MONTH 12 DAY </v>
      </c>
    </row>
    <row r="259" spans="1:13">
      <c r="A259" s="13">
        <f t="shared" ref="A259:A308" ca="1" si="51">RANDBETWEEN(DATE(2003,7,23),TODAY())</f>
        <v>38165</v>
      </c>
      <c r="B259">
        <f t="shared" ref="B259:B308" ca="1" si="52">MONTH(A259)</f>
        <v>6</v>
      </c>
      <c r="C259">
        <f t="shared" ca="1" si="48"/>
        <v>2004</v>
      </c>
      <c r="D259">
        <f t="shared" ca="1" si="49"/>
        <v>27</v>
      </c>
      <c r="E259" t="str">
        <f t="shared" ca="1" si="50"/>
        <v>Sunday</v>
      </c>
      <c r="F259" s="12">
        <v>45973</v>
      </c>
      <c r="G259">
        <f t="shared" ref="G259:G308" si="53">DAY(F259)</f>
        <v>12</v>
      </c>
      <c r="H259">
        <f t="shared" ref="H259:H308" si="54">MONTH(F259)</f>
        <v>11</v>
      </c>
      <c r="I259">
        <f t="shared" ref="I259:I308" si="55">YEAR(F259)</f>
        <v>2025</v>
      </c>
      <c r="J259" t="str">
        <f t="shared" ref="J259:J308" si="56">TEXT(F259,"dddd")</f>
        <v>Wednesday</v>
      </c>
      <c r="K259" t="str">
        <f t="shared" ref="K259:K308" si="57">TEXT(F259,"mmmm")</f>
        <v>November</v>
      </c>
      <c r="L259" t="str">
        <f t="shared" ref="L259:L308" ca="1" si="58">DATEDIF(F259,TODAY(),"Y")&amp;" YEAR "&amp;DATEDIF(F259,TODAY(),"YM")&amp;" MONTH "&amp;DATEDIF(F259,TODAY(),"MD")&amp;" DAY"</f>
        <v>0 YEAR 6 MONTH 10 DAY</v>
      </c>
      <c r="M259" t="str">
        <f t="shared" ref="M259:M308" ca="1" si="59">DATEDIF(A259,TODAY(),"Y")&amp;" YEAR "&amp;DATEDIF(A259,TODAY(),"YM")&amp;" MONTH "&amp;DATEDIF(A259,TODAY(),"MD")&amp;" DAY "</f>
        <v xml:space="preserve">21 YEAR 10 MONTH 25 DAY </v>
      </c>
    </row>
    <row r="260" spans="1:13">
      <c r="A260" s="13">
        <f t="shared" ca="1" si="51"/>
        <v>44666</v>
      </c>
      <c r="B260">
        <f t="shared" ca="1" si="52"/>
        <v>4</v>
      </c>
      <c r="C260">
        <f t="shared" ca="1" si="48"/>
        <v>2022</v>
      </c>
      <c r="D260">
        <f t="shared" ca="1" si="49"/>
        <v>15</v>
      </c>
      <c r="E260" t="str">
        <f t="shared" ca="1" si="50"/>
        <v>Friday</v>
      </c>
      <c r="F260" s="12">
        <v>45974</v>
      </c>
      <c r="G260">
        <f t="shared" si="53"/>
        <v>13</v>
      </c>
      <c r="H260">
        <f t="shared" si="54"/>
        <v>11</v>
      </c>
      <c r="I260">
        <f t="shared" si="55"/>
        <v>2025</v>
      </c>
      <c r="J260" t="str">
        <f t="shared" si="56"/>
        <v>Thursday</v>
      </c>
      <c r="K260" t="str">
        <f t="shared" si="57"/>
        <v>November</v>
      </c>
      <c r="L260" t="str">
        <f t="shared" ca="1" si="58"/>
        <v>0 YEAR 6 MONTH 9 DAY</v>
      </c>
      <c r="M260" t="str">
        <f t="shared" ca="1" si="59"/>
        <v xml:space="preserve">4 YEAR 1 MONTH 7 DAY </v>
      </c>
    </row>
    <row r="261" spans="1:13">
      <c r="A261" s="13">
        <f t="shared" ca="1" si="51"/>
        <v>39199</v>
      </c>
      <c r="B261">
        <f t="shared" ca="1" si="52"/>
        <v>4</v>
      </c>
      <c r="C261">
        <f t="shared" ca="1" si="48"/>
        <v>2007</v>
      </c>
      <c r="D261">
        <f t="shared" ca="1" si="49"/>
        <v>27</v>
      </c>
      <c r="E261" t="str">
        <f t="shared" ca="1" si="50"/>
        <v>Friday</v>
      </c>
      <c r="F261" s="12">
        <v>45975</v>
      </c>
      <c r="G261">
        <f t="shared" si="53"/>
        <v>14</v>
      </c>
      <c r="H261">
        <f t="shared" si="54"/>
        <v>11</v>
      </c>
      <c r="I261">
        <f t="shared" si="55"/>
        <v>2025</v>
      </c>
      <c r="J261" t="str">
        <f t="shared" si="56"/>
        <v>Friday</v>
      </c>
      <c r="K261" t="str">
        <f t="shared" si="57"/>
        <v>November</v>
      </c>
      <c r="L261" t="str">
        <f t="shared" ca="1" si="58"/>
        <v>0 YEAR 6 MONTH 8 DAY</v>
      </c>
      <c r="M261" t="str">
        <f t="shared" ca="1" si="59"/>
        <v xml:space="preserve">19 YEAR 0 MONTH 25 DAY </v>
      </c>
    </row>
    <row r="262" spans="1:13">
      <c r="A262" s="13">
        <f t="shared" ca="1" si="51"/>
        <v>44493</v>
      </c>
      <c r="B262">
        <f t="shared" ca="1" si="52"/>
        <v>10</v>
      </c>
      <c r="C262">
        <f t="shared" ca="1" si="48"/>
        <v>2021</v>
      </c>
      <c r="D262">
        <f t="shared" ca="1" si="49"/>
        <v>24</v>
      </c>
      <c r="E262" t="str">
        <f t="shared" ca="1" si="50"/>
        <v>Sunday</v>
      </c>
      <c r="F262" s="12">
        <v>45976</v>
      </c>
      <c r="G262">
        <f t="shared" si="53"/>
        <v>15</v>
      </c>
      <c r="H262">
        <f t="shared" si="54"/>
        <v>11</v>
      </c>
      <c r="I262">
        <f t="shared" si="55"/>
        <v>2025</v>
      </c>
      <c r="J262" t="str">
        <f t="shared" si="56"/>
        <v>Saturday</v>
      </c>
      <c r="K262" t="str">
        <f t="shared" si="57"/>
        <v>November</v>
      </c>
      <c r="L262" t="str">
        <f t="shared" ca="1" si="58"/>
        <v>0 YEAR 6 MONTH 7 DAY</v>
      </c>
      <c r="M262" t="str">
        <f t="shared" ca="1" si="59"/>
        <v xml:space="preserve">4 YEAR 6 MONTH 28 DAY </v>
      </c>
    </row>
    <row r="263" spans="1:13">
      <c r="A263" s="13">
        <f t="shared" ca="1" si="51"/>
        <v>41007</v>
      </c>
      <c r="B263">
        <f t="shared" ca="1" si="52"/>
        <v>4</v>
      </c>
      <c r="C263">
        <f t="shared" ca="1" si="48"/>
        <v>2012</v>
      </c>
      <c r="D263">
        <f t="shared" ca="1" si="49"/>
        <v>8</v>
      </c>
      <c r="E263" t="str">
        <f t="shared" ca="1" si="50"/>
        <v>Sunday</v>
      </c>
      <c r="F263" s="12">
        <v>45977</v>
      </c>
      <c r="G263">
        <f t="shared" si="53"/>
        <v>16</v>
      </c>
      <c r="H263">
        <f t="shared" si="54"/>
        <v>11</v>
      </c>
      <c r="I263">
        <f t="shared" si="55"/>
        <v>2025</v>
      </c>
      <c r="J263" t="str">
        <f t="shared" si="56"/>
        <v>Sunday</v>
      </c>
      <c r="K263" t="str">
        <f t="shared" si="57"/>
        <v>November</v>
      </c>
      <c r="L263" t="str">
        <f t="shared" ca="1" si="58"/>
        <v>0 YEAR 6 MONTH 6 DAY</v>
      </c>
      <c r="M263" t="str">
        <f t="shared" ca="1" si="59"/>
        <v xml:space="preserve">14 YEAR 1 MONTH 14 DAY </v>
      </c>
    </row>
    <row r="264" spans="1:13">
      <c r="A264" s="13">
        <f t="shared" ca="1" si="51"/>
        <v>43482</v>
      </c>
      <c r="B264">
        <f t="shared" ca="1" si="52"/>
        <v>1</v>
      </c>
      <c r="C264">
        <f t="shared" ca="1" si="48"/>
        <v>2019</v>
      </c>
      <c r="D264">
        <f t="shared" ca="1" si="49"/>
        <v>17</v>
      </c>
      <c r="E264" t="str">
        <f t="shared" ca="1" si="50"/>
        <v>Thursday</v>
      </c>
      <c r="F264" s="12">
        <v>45978</v>
      </c>
      <c r="G264">
        <f t="shared" si="53"/>
        <v>17</v>
      </c>
      <c r="H264">
        <f t="shared" si="54"/>
        <v>11</v>
      </c>
      <c r="I264">
        <f t="shared" si="55"/>
        <v>2025</v>
      </c>
      <c r="J264" t="str">
        <f t="shared" si="56"/>
        <v>Monday</v>
      </c>
      <c r="K264" t="str">
        <f t="shared" si="57"/>
        <v>November</v>
      </c>
      <c r="L264" t="str">
        <f t="shared" ca="1" si="58"/>
        <v>0 YEAR 6 MONTH 5 DAY</v>
      </c>
      <c r="M264" t="str">
        <f t="shared" ca="1" si="59"/>
        <v xml:space="preserve">7 YEAR 4 MONTH 5 DAY </v>
      </c>
    </row>
    <row r="265" spans="1:13">
      <c r="A265" s="13">
        <f t="shared" ca="1" si="51"/>
        <v>44714</v>
      </c>
      <c r="B265">
        <f t="shared" ca="1" si="52"/>
        <v>6</v>
      </c>
      <c r="C265">
        <f t="shared" ca="1" si="48"/>
        <v>2022</v>
      </c>
      <c r="D265">
        <f t="shared" ca="1" si="49"/>
        <v>2</v>
      </c>
      <c r="E265" t="str">
        <f t="shared" ca="1" si="50"/>
        <v>Thursday</v>
      </c>
      <c r="F265" s="12">
        <v>45979</v>
      </c>
      <c r="G265">
        <f t="shared" si="53"/>
        <v>18</v>
      </c>
      <c r="H265">
        <f t="shared" si="54"/>
        <v>11</v>
      </c>
      <c r="I265">
        <f t="shared" si="55"/>
        <v>2025</v>
      </c>
      <c r="J265" t="str">
        <f t="shared" si="56"/>
        <v>Tuesday</v>
      </c>
      <c r="K265" t="str">
        <f t="shared" si="57"/>
        <v>November</v>
      </c>
      <c r="L265" t="str">
        <f t="shared" ca="1" si="58"/>
        <v>0 YEAR 6 MONTH 4 DAY</v>
      </c>
      <c r="M265" t="str">
        <f t="shared" ca="1" si="59"/>
        <v xml:space="preserve">3 YEAR 11 MONTH 20 DAY </v>
      </c>
    </row>
    <row r="266" spans="1:13">
      <c r="A266" s="13">
        <f t="shared" ca="1" si="51"/>
        <v>45700</v>
      </c>
      <c r="B266">
        <f t="shared" ca="1" si="52"/>
        <v>2</v>
      </c>
      <c r="C266">
        <f t="shared" ca="1" si="48"/>
        <v>2025</v>
      </c>
      <c r="D266">
        <f t="shared" ca="1" si="49"/>
        <v>12</v>
      </c>
      <c r="E266" t="str">
        <f t="shared" ca="1" si="50"/>
        <v>Wednesday</v>
      </c>
      <c r="F266" s="12">
        <v>45980</v>
      </c>
      <c r="G266">
        <f t="shared" si="53"/>
        <v>19</v>
      </c>
      <c r="H266">
        <f t="shared" si="54"/>
        <v>11</v>
      </c>
      <c r="I266">
        <f t="shared" si="55"/>
        <v>2025</v>
      </c>
      <c r="J266" t="str">
        <f t="shared" si="56"/>
        <v>Wednesday</v>
      </c>
      <c r="K266" t="str">
        <f t="shared" si="57"/>
        <v>November</v>
      </c>
      <c r="L266" t="str">
        <f t="shared" ca="1" si="58"/>
        <v>0 YEAR 6 MONTH 3 DAY</v>
      </c>
      <c r="M266" t="str">
        <f t="shared" ca="1" si="59"/>
        <v xml:space="preserve">1 YEAR 3 MONTH 10 DAY </v>
      </c>
    </row>
    <row r="267" spans="1:13">
      <c r="A267" s="13">
        <f t="shared" ca="1" si="51"/>
        <v>43792</v>
      </c>
      <c r="B267">
        <f t="shared" ca="1" si="52"/>
        <v>11</v>
      </c>
      <c r="C267">
        <f t="shared" ca="1" si="48"/>
        <v>2019</v>
      </c>
      <c r="D267">
        <f t="shared" ca="1" si="49"/>
        <v>23</v>
      </c>
      <c r="E267" t="str">
        <f t="shared" ca="1" si="50"/>
        <v>Saturday</v>
      </c>
      <c r="F267" s="12">
        <v>45981</v>
      </c>
      <c r="G267">
        <f t="shared" si="53"/>
        <v>20</v>
      </c>
      <c r="H267">
        <f t="shared" si="54"/>
        <v>11</v>
      </c>
      <c r="I267">
        <f t="shared" si="55"/>
        <v>2025</v>
      </c>
      <c r="J267" t="str">
        <f t="shared" si="56"/>
        <v>Thursday</v>
      </c>
      <c r="K267" t="str">
        <f t="shared" si="57"/>
        <v>November</v>
      </c>
      <c r="L267" t="str">
        <f t="shared" ca="1" si="58"/>
        <v>0 YEAR 6 MONTH 2 DAY</v>
      </c>
      <c r="M267" t="str">
        <f t="shared" ca="1" si="59"/>
        <v xml:space="preserve">6 YEAR 5 MONTH 29 DAY </v>
      </c>
    </row>
    <row r="268" spans="1:13">
      <c r="A268" s="13">
        <f t="shared" ca="1" si="51"/>
        <v>39918</v>
      </c>
      <c r="B268">
        <f t="shared" ca="1" si="52"/>
        <v>4</v>
      </c>
      <c r="C268">
        <f t="shared" ca="1" si="48"/>
        <v>2009</v>
      </c>
      <c r="D268">
        <f t="shared" ca="1" si="49"/>
        <v>15</v>
      </c>
      <c r="E268" t="str">
        <f t="shared" ca="1" si="50"/>
        <v>Wednesday</v>
      </c>
      <c r="F268" s="12">
        <v>45982</v>
      </c>
      <c r="G268">
        <f t="shared" si="53"/>
        <v>21</v>
      </c>
      <c r="H268">
        <f t="shared" si="54"/>
        <v>11</v>
      </c>
      <c r="I268">
        <f t="shared" si="55"/>
        <v>2025</v>
      </c>
      <c r="J268" t="str">
        <f t="shared" si="56"/>
        <v>Friday</v>
      </c>
      <c r="K268" t="str">
        <f t="shared" si="57"/>
        <v>November</v>
      </c>
      <c r="L268" t="str">
        <f t="shared" ca="1" si="58"/>
        <v>0 YEAR 6 MONTH 1 DAY</v>
      </c>
      <c r="M268" t="str">
        <f t="shared" ca="1" si="59"/>
        <v xml:space="preserve">17 YEAR 1 MONTH 7 DAY </v>
      </c>
    </row>
    <row r="269" spans="1:13">
      <c r="A269" s="13">
        <f t="shared" ca="1" si="51"/>
        <v>43909</v>
      </c>
      <c r="B269">
        <f t="shared" ca="1" si="52"/>
        <v>3</v>
      </c>
      <c r="C269">
        <f t="shared" ca="1" si="48"/>
        <v>2020</v>
      </c>
      <c r="D269">
        <f t="shared" ca="1" si="49"/>
        <v>19</v>
      </c>
      <c r="E269" t="str">
        <f t="shared" ca="1" si="50"/>
        <v>Thursday</v>
      </c>
      <c r="F269" s="12">
        <v>45983</v>
      </c>
      <c r="G269">
        <f t="shared" si="53"/>
        <v>22</v>
      </c>
      <c r="H269">
        <f t="shared" si="54"/>
        <v>11</v>
      </c>
      <c r="I269">
        <f t="shared" si="55"/>
        <v>2025</v>
      </c>
      <c r="J269" t="str">
        <f t="shared" si="56"/>
        <v>Saturday</v>
      </c>
      <c r="K269" t="str">
        <f t="shared" si="57"/>
        <v>November</v>
      </c>
      <c r="L269" t="str">
        <f t="shared" ca="1" si="58"/>
        <v>0 YEAR 6 MONTH 0 DAY</v>
      </c>
      <c r="M269" t="str">
        <f t="shared" ca="1" si="59"/>
        <v xml:space="preserve">6 YEAR 2 MONTH 3 DAY </v>
      </c>
    </row>
    <row r="270" spans="1:13">
      <c r="A270" s="13">
        <f t="shared" ca="1" si="51"/>
        <v>41338</v>
      </c>
      <c r="B270">
        <f t="shared" ca="1" si="52"/>
        <v>3</v>
      </c>
      <c r="C270">
        <f t="shared" ca="1" si="48"/>
        <v>2013</v>
      </c>
      <c r="D270">
        <f t="shared" ca="1" si="49"/>
        <v>5</v>
      </c>
      <c r="E270" t="str">
        <f t="shared" ca="1" si="50"/>
        <v>Tuesday</v>
      </c>
      <c r="F270" s="12">
        <v>45984</v>
      </c>
      <c r="G270">
        <f t="shared" si="53"/>
        <v>23</v>
      </c>
      <c r="H270">
        <f t="shared" si="54"/>
        <v>11</v>
      </c>
      <c r="I270">
        <f t="shared" si="55"/>
        <v>2025</v>
      </c>
      <c r="J270" t="str">
        <f t="shared" si="56"/>
        <v>Sunday</v>
      </c>
      <c r="K270" t="str">
        <f t="shared" si="57"/>
        <v>November</v>
      </c>
      <c r="L270" t="str">
        <f t="shared" ca="1" si="58"/>
        <v>0 YEAR 5 MONTH 29 DAY</v>
      </c>
      <c r="M270" t="str">
        <f t="shared" ca="1" si="59"/>
        <v xml:space="preserve">13 YEAR 2 MONTH 17 DAY </v>
      </c>
    </row>
    <row r="271" spans="1:13">
      <c r="A271" s="13">
        <f t="shared" ca="1" si="51"/>
        <v>41838</v>
      </c>
      <c r="B271">
        <f t="shared" ca="1" si="52"/>
        <v>7</v>
      </c>
      <c r="C271">
        <f t="shared" ref="C271:C308" ca="1" si="60">YEAR(A271)</f>
        <v>2014</v>
      </c>
      <c r="D271">
        <f t="shared" ref="D271:D308" ca="1" si="61">DAY(A271)</f>
        <v>18</v>
      </c>
      <c r="E271" t="str">
        <f t="shared" ref="E271:E308" ca="1" si="62">TEXT(A271,"dddd")</f>
        <v>Friday</v>
      </c>
      <c r="F271" s="12">
        <v>45985</v>
      </c>
      <c r="G271">
        <f t="shared" si="53"/>
        <v>24</v>
      </c>
      <c r="H271">
        <f t="shared" si="54"/>
        <v>11</v>
      </c>
      <c r="I271">
        <f t="shared" si="55"/>
        <v>2025</v>
      </c>
      <c r="J271" t="str">
        <f t="shared" si="56"/>
        <v>Monday</v>
      </c>
      <c r="K271" t="str">
        <f t="shared" si="57"/>
        <v>November</v>
      </c>
      <c r="L271" t="str">
        <f t="shared" ca="1" si="58"/>
        <v>0 YEAR 5 MONTH 28 DAY</v>
      </c>
      <c r="M271" t="str">
        <f t="shared" ca="1" si="59"/>
        <v xml:space="preserve">11 YEAR 10 MONTH 4 DAY </v>
      </c>
    </row>
    <row r="272" spans="1:13">
      <c r="A272" s="13">
        <f t="shared" ca="1" si="51"/>
        <v>42430</v>
      </c>
      <c r="B272">
        <f t="shared" ca="1" si="52"/>
        <v>3</v>
      </c>
      <c r="C272">
        <f t="shared" ca="1" si="60"/>
        <v>2016</v>
      </c>
      <c r="D272">
        <f t="shared" ca="1" si="61"/>
        <v>1</v>
      </c>
      <c r="E272" t="str">
        <f t="shared" ca="1" si="62"/>
        <v>Tuesday</v>
      </c>
      <c r="F272" s="12">
        <v>45986</v>
      </c>
      <c r="G272">
        <f t="shared" si="53"/>
        <v>25</v>
      </c>
      <c r="H272">
        <f t="shared" si="54"/>
        <v>11</v>
      </c>
      <c r="I272">
        <f t="shared" si="55"/>
        <v>2025</v>
      </c>
      <c r="J272" t="str">
        <f t="shared" si="56"/>
        <v>Tuesday</v>
      </c>
      <c r="K272" t="str">
        <f t="shared" si="57"/>
        <v>November</v>
      </c>
      <c r="L272" t="str">
        <f t="shared" ca="1" si="58"/>
        <v>0 YEAR 5 MONTH 27 DAY</v>
      </c>
      <c r="M272" t="str">
        <f t="shared" ca="1" si="59"/>
        <v xml:space="preserve">10 YEAR 2 MONTH 21 DAY </v>
      </c>
    </row>
    <row r="273" spans="1:13">
      <c r="A273" s="13">
        <f t="shared" ca="1" si="51"/>
        <v>39913</v>
      </c>
      <c r="B273">
        <f t="shared" ca="1" si="52"/>
        <v>4</v>
      </c>
      <c r="C273">
        <f t="shared" ca="1" si="60"/>
        <v>2009</v>
      </c>
      <c r="D273">
        <f t="shared" ca="1" si="61"/>
        <v>10</v>
      </c>
      <c r="E273" t="str">
        <f t="shared" ca="1" si="62"/>
        <v>Friday</v>
      </c>
      <c r="F273" s="12">
        <v>45987</v>
      </c>
      <c r="G273">
        <f t="shared" si="53"/>
        <v>26</v>
      </c>
      <c r="H273">
        <f t="shared" si="54"/>
        <v>11</v>
      </c>
      <c r="I273">
        <f t="shared" si="55"/>
        <v>2025</v>
      </c>
      <c r="J273" t="str">
        <f t="shared" si="56"/>
        <v>Wednesday</v>
      </c>
      <c r="K273" t="str">
        <f t="shared" si="57"/>
        <v>November</v>
      </c>
      <c r="L273" t="str">
        <f t="shared" ca="1" si="58"/>
        <v>0 YEAR 5 MONTH 26 DAY</v>
      </c>
      <c r="M273" t="str">
        <f t="shared" ca="1" si="59"/>
        <v xml:space="preserve">17 YEAR 1 MONTH 12 DAY </v>
      </c>
    </row>
    <row r="274" spans="1:13">
      <c r="A274" s="13">
        <f t="shared" ca="1" si="51"/>
        <v>43444</v>
      </c>
      <c r="B274">
        <f t="shared" ca="1" si="52"/>
        <v>12</v>
      </c>
      <c r="C274">
        <f t="shared" ca="1" si="60"/>
        <v>2018</v>
      </c>
      <c r="D274">
        <f t="shared" ca="1" si="61"/>
        <v>10</v>
      </c>
      <c r="E274" t="str">
        <f t="shared" ca="1" si="62"/>
        <v>Monday</v>
      </c>
      <c r="F274" s="12">
        <v>45988</v>
      </c>
      <c r="G274">
        <f t="shared" si="53"/>
        <v>27</v>
      </c>
      <c r="H274">
        <f t="shared" si="54"/>
        <v>11</v>
      </c>
      <c r="I274">
        <f t="shared" si="55"/>
        <v>2025</v>
      </c>
      <c r="J274" t="str">
        <f t="shared" si="56"/>
        <v>Thursday</v>
      </c>
      <c r="K274" t="str">
        <f t="shared" si="57"/>
        <v>November</v>
      </c>
      <c r="L274" t="str">
        <f t="shared" ca="1" si="58"/>
        <v>0 YEAR 5 MONTH 25 DAY</v>
      </c>
      <c r="M274" t="str">
        <f t="shared" ca="1" si="59"/>
        <v xml:space="preserve">7 YEAR 5 MONTH 12 DAY </v>
      </c>
    </row>
    <row r="275" spans="1:13">
      <c r="A275" s="13">
        <f t="shared" ca="1" si="51"/>
        <v>38085</v>
      </c>
      <c r="B275">
        <f t="shared" ca="1" si="52"/>
        <v>4</v>
      </c>
      <c r="C275">
        <f t="shared" ca="1" si="60"/>
        <v>2004</v>
      </c>
      <c r="D275">
        <f t="shared" ca="1" si="61"/>
        <v>8</v>
      </c>
      <c r="E275" t="str">
        <f t="shared" ca="1" si="62"/>
        <v>Thursday</v>
      </c>
      <c r="F275" s="12">
        <v>45989</v>
      </c>
      <c r="G275">
        <f t="shared" si="53"/>
        <v>28</v>
      </c>
      <c r="H275">
        <f t="shared" si="54"/>
        <v>11</v>
      </c>
      <c r="I275">
        <f t="shared" si="55"/>
        <v>2025</v>
      </c>
      <c r="J275" t="str">
        <f t="shared" si="56"/>
        <v>Friday</v>
      </c>
      <c r="K275" t="str">
        <f t="shared" si="57"/>
        <v>November</v>
      </c>
      <c r="L275" t="str">
        <f t="shared" ca="1" si="58"/>
        <v>0 YEAR 5 MONTH 24 DAY</v>
      </c>
      <c r="M275" t="str">
        <f t="shared" ca="1" si="59"/>
        <v xml:space="preserve">22 YEAR 1 MONTH 14 DAY </v>
      </c>
    </row>
    <row r="276" spans="1:13">
      <c r="A276" s="13">
        <f t="shared" ca="1" si="51"/>
        <v>42641</v>
      </c>
      <c r="B276">
        <f t="shared" ca="1" si="52"/>
        <v>9</v>
      </c>
      <c r="C276">
        <f t="shared" ca="1" si="60"/>
        <v>2016</v>
      </c>
      <c r="D276">
        <f t="shared" ca="1" si="61"/>
        <v>28</v>
      </c>
      <c r="E276" t="str">
        <f t="shared" ca="1" si="62"/>
        <v>Wednesday</v>
      </c>
      <c r="F276" s="12">
        <v>45990</v>
      </c>
      <c r="G276">
        <f t="shared" si="53"/>
        <v>29</v>
      </c>
      <c r="H276">
        <f t="shared" si="54"/>
        <v>11</v>
      </c>
      <c r="I276">
        <f t="shared" si="55"/>
        <v>2025</v>
      </c>
      <c r="J276" t="str">
        <f t="shared" si="56"/>
        <v>Saturday</v>
      </c>
      <c r="K276" t="str">
        <f t="shared" si="57"/>
        <v>November</v>
      </c>
      <c r="L276" t="str">
        <f t="shared" ca="1" si="58"/>
        <v>0 YEAR 5 MONTH 23 DAY</v>
      </c>
      <c r="M276" t="str">
        <f t="shared" ca="1" si="59"/>
        <v xml:space="preserve">9 YEAR 7 MONTH 24 DAY </v>
      </c>
    </row>
    <row r="277" spans="1:13">
      <c r="A277" s="13">
        <f t="shared" ca="1" si="51"/>
        <v>45285</v>
      </c>
      <c r="B277">
        <f t="shared" ca="1" si="52"/>
        <v>12</v>
      </c>
      <c r="C277">
        <f t="shared" ca="1" si="60"/>
        <v>2023</v>
      </c>
      <c r="D277">
        <f t="shared" ca="1" si="61"/>
        <v>25</v>
      </c>
      <c r="E277" t="str">
        <f t="shared" ca="1" si="62"/>
        <v>Monday</v>
      </c>
      <c r="F277" s="12">
        <v>45991</v>
      </c>
      <c r="G277">
        <f t="shared" si="53"/>
        <v>30</v>
      </c>
      <c r="H277">
        <f t="shared" si="54"/>
        <v>11</v>
      </c>
      <c r="I277">
        <f t="shared" si="55"/>
        <v>2025</v>
      </c>
      <c r="J277" t="str">
        <f t="shared" si="56"/>
        <v>Sunday</v>
      </c>
      <c r="K277" t="str">
        <f t="shared" si="57"/>
        <v>November</v>
      </c>
      <c r="L277" t="str">
        <f t="shared" ca="1" si="58"/>
        <v>0 YEAR 5 MONTH 22 DAY</v>
      </c>
      <c r="M277" t="str">
        <f t="shared" ca="1" si="59"/>
        <v xml:space="preserve">2 YEAR 4 MONTH 27 DAY </v>
      </c>
    </row>
    <row r="278" spans="1:13">
      <c r="A278" s="13">
        <f t="shared" ca="1" si="51"/>
        <v>40971</v>
      </c>
      <c r="B278">
        <f t="shared" ca="1" si="52"/>
        <v>3</v>
      </c>
      <c r="C278">
        <f t="shared" ca="1" si="60"/>
        <v>2012</v>
      </c>
      <c r="D278">
        <f t="shared" ca="1" si="61"/>
        <v>3</v>
      </c>
      <c r="E278" t="str">
        <f t="shared" ca="1" si="62"/>
        <v>Saturday</v>
      </c>
      <c r="F278" s="12">
        <v>45992</v>
      </c>
      <c r="G278">
        <f t="shared" si="53"/>
        <v>1</v>
      </c>
      <c r="H278">
        <f t="shared" si="54"/>
        <v>12</v>
      </c>
      <c r="I278">
        <f t="shared" si="55"/>
        <v>2025</v>
      </c>
      <c r="J278" t="str">
        <f t="shared" si="56"/>
        <v>Monday</v>
      </c>
      <c r="K278" t="str">
        <f t="shared" si="57"/>
        <v>December</v>
      </c>
      <c r="L278" t="str">
        <f t="shared" ca="1" si="58"/>
        <v>0 YEAR 5 MONTH 21 DAY</v>
      </c>
      <c r="M278" t="str">
        <f t="shared" ca="1" si="59"/>
        <v xml:space="preserve">14 YEAR 2 MONTH 19 DAY </v>
      </c>
    </row>
    <row r="279" spans="1:13">
      <c r="A279" s="13">
        <f t="shared" ca="1" si="51"/>
        <v>45999</v>
      </c>
      <c r="B279">
        <f t="shared" ca="1" si="52"/>
        <v>12</v>
      </c>
      <c r="C279">
        <f t="shared" ca="1" si="60"/>
        <v>2025</v>
      </c>
      <c r="D279">
        <f t="shared" ca="1" si="61"/>
        <v>8</v>
      </c>
      <c r="E279" t="str">
        <f t="shared" ca="1" si="62"/>
        <v>Monday</v>
      </c>
      <c r="F279" s="12">
        <v>45993</v>
      </c>
      <c r="G279">
        <f t="shared" si="53"/>
        <v>2</v>
      </c>
      <c r="H279">
        <f t="shared" si="54"/>
        <v>12</v>
      </c>
      <c r="I279">
        <f t="shared" si="55"/>
        <v>2025</v>
      </c>
      <c r="J279" t="str">
        <f t="shared" si="56"/>
        <v>Tuesday</v>
      </c>
      <c r="K279" t="str">
        <f t="shared" si="57"/>
        <v>December</v>
      </c>
      <c r="L279" t="str">
        <f t="shared" ca="1" si="58"/>
        <v>0 YEAR 5 MONTH 20 DAY</v>
      </c>
      <c r="M279" t="str">
        <f t="shared" ca="1" si="59"/>
        <v xml:space="preserve">0 YEAR 5 MONTH 14 DAY </v>
      </c>
    </row>
    <row r="280" spans="1:13">
      <c r="A280" s="13">
        <f t="shared" ca="1" si="51"/>
        <v>44455</v>
      </c>
      <c r="B280">
        <f t="shared" ca="1" si="52"/>
        <v>9</v>
      </c>
      <c r="C280">
        <f t="shared" ca="1" si="60"/>
        <v>2021</v>
      </c>
      <c r="D280">
        <f t="shared" ca="1" si="61"/>
        <v>16</v>
      </c>
      <c r="E280" t="str">
        <f t="shared" ca="1" si="62"/>
        <v>Thursday</v>
      </c>
      <c r="F280" s="12">
        <v>45994</v>
      </c>
      <c r="G280">
        <f t="shared" si="53"/>
        <v>3</v>
      </c>
      <c r="H280">
        <f t="shared" si="54"/>
        <v>12</v>
      </c>
      <c r="I280">
        <f t="shared" si="55"/>
        <v>2025</v>
      </c>
      <c r="J280" t="str">
        <f t="shared" si="56"/>
        <v>Wednesday</v>
      </c>
      <c r="K280" t="str">
        <f t="shared" si="57"/>
        <v>December</v>
      </c>
      <c r="L280" t="str">
        <f t="shared" ca="1" si="58"/>
        <v>0 YEAR 5 MONTH 19 DAY</v>
      </c>
      <c r="M280" t="str">
        <f t="shared" ca="1" si="59"/>
        <v xml:space="preserve">4 YEAR 8 MONTH 6 DAY </v>
      </c>
    </row>
    <row r="281" spans="1:13">
      <c r="A281" s="13">
        <f t="shared" ca="1" si="51"/>
        <v>44815</v>
      </c>
      <c r="B281">
        <f t="shared" ca="1" si="52"/>
        <v>9</v>
      </c>
      <c r="C281">
        <f t="shared" ca="1" si="60"/>
        <v>2022</v>
      </c>
      <c r="D281">
        <f t="shared" ca="1" si="61"/>
        <v>11</v>
      </c>
      <c r="E281" t="str">
        <f t="shared" ca="1" si="62"/>
        <v>Sunday</v>
      </c>
      <c r="F281" s="12">
        <v>45995</v>
      </c>
      <c r="G281">
        <f t="shared" si="53"/>
        <v>4</v>
      </c>
      <c r="H281">
        <f t="shared" si="54"/>
        <v>12</v>
      </c>
      <c r="I281">
        <f t="shared" si="55"/>
        <v>2025</v>
      </c>
      <c r="J281" t="str">
        <f t="shared" si="56"/>
        <v>Thursday</v>
      </c>
      <c r="K281" t="str">
        <f t="shared" si="57"/>
        <v>December</v>
      </c>
      <c r="L281" t="str">
        <f t="shared" ca="1" si="58"/>
        <v>0 YEAR 5 MONTH 18 DAY</v>
      </c>
      <c r="M281" t="str">
        <f t="shared" ca="1" si="59"/>
        <v xml:space="preserve">3 YEAR 8 MONTH 11 DAY </v>
      </c>
    </row>
    <row r="282" spans="1:13">
      <c r="A282" s="13">
        <f t="shared" ca="1" si="51"/>
        <v>43754</v>
      </c>
      <c r="B282">
        <f t="shared" ca="1" si="52"/>
        <v>10</v>
      </c>
      <c r="C282">
        <f t="shared" ca="1" si="60"/>
        <v>2019</v>
      </c>
      <c r="D282">
        <f t="shared" ca="1" si="61"/>
        <v>16</v>
      </c>
      <c r="E282" t="str">
        <f t="shared" ca="1" si="62"/>
        <v>Wednesday</v>
      </c>
      <c r="F282" s="12">
        <v>45996</v>
      </c>
      <c r="G282">
        <f t="shared" si="53"/>
        <v>5</v>
      </c>
      <c r="H282">
        <f t="shared" si="54"/>
        <v>12</v>
      </c>
      <c r="I282">
        <f t="shared" si="55"/>
        <v>2025</v>
      </c>
      <c r="J282" t="str">
        <f t="shared" si="56"/>
        <v>Friday</v>
      </c>
      <c r="K282" t="str">
        <f t="shared" si="57"/>
        <v>December</v>
      </c>
      <c r="L282" t="str">
        <f t="shared" ca="1" si="58"/>
        <v>0 YEAR 5 MONTH 17 DAY</v>
      </c>
      <c r="M282" t="str">
        <f t="shared" ca="1" si="59"/>
        <v xml:space="preserve">6 YEAR 7 MONTH 6 DAY </v>
      </c>
    </row>
    <row r="283" spans="1:13">
      <c r="A283" s="13">
        <f t="shared" ca="1" si="51"/>
        <v>40225</v>
      </c>
      <c r="B283">
        <f t="shared" ca="1" si="52"/>
        <v>2</v>
      </c>
      <c r="C283">
        <f t="shared" ca="1" si="60"/>
        <v>2010</v>
      </c>
      <c r="D283">
        <f t="shared" ca="1" si="61"/>
        <v>16</v>
      </c>
      <c r="E283" t="str">
        <f t="shared" ca="1" si="62"/>
        <v>Tuesday</v>
      </c>
      <c r="F283" s="12">
        <v>45997</v>
      </c>
      <c r="G283">
        <f t="shared" si="53"/>
        <v>6</v>
      </c>
      <c r="H283">
        <f t="shared" si="54"/>
        <v>12</v>
      </c>
      <c r="I283">
        <f t="shared" si="55"/>
        <v>2025</v>
      </c>
      <c r="J283" t="str">
        <f t="shared" si="56"/>
        <v>Saturday</v>
      </c>
      <c r="K283" t="str">
        <f t="shared" si="57"/>
        <v>December</v>
      </c>
      <c r="L283" t="str">
        <f t="shared" ca="1" si="58"/>
        <v>0 YEAR 5 MONTH 16 DAY</v>
      </c>
      <c r="M283" t="str">
        <f t="shared" ca="1" si="59"/>
        <v xml:space="preserve">16 YEAR 3 MONTH 6 DAY </v>
      </c>
    </row>
    <row r="284" spans="1:13">
      <c r="A284" s="13">
        <f t="shared" ca="1" si="51"/>
        <v>44183</v>
      </c>
      <c r="B284">
        <f t="shared" ca="1" si="52"/>
        <v>12</v>
      </c>
      <c r="C284">
        <f t="shared" ca="1" si="60"/>
        <v>2020</v>
      </c>
      <c r="D284">
        <f t="shared" ca="1" si="61"/>
        <v>18</v>
      </c>
      <c r="E284" t="str">
        <f t="shared" ca="1" si="62"/>
        <v>Friday</v>
      </c>
      <c r="F284" s="12">
        <v>45998</v>
      </c>
      <c r="G284">
        <f t="shared" si="53"/>
        <v>7</v>
      </c>
      <c r="H284">
        <f t="shared" si="54"/>
        <v>12</v>
      </c>
      <c r="I284">
        <f t="shared" si="55"/>
        <v>2025</v>
      </c>
      <c r="J284" t="str">
        <f t="shared" si="56"/>
        <v>Sunday</v>
      </c>
      <c r="K284" t="str">
        <f t="shared" si="57"/>
        <v>December</v>
      </c>
      <c r="L284" t="str">
        <f t="shared" ca="1" si="58"/>
        <v>0 YEAR 5 MONTH 15 DAY</v>
      </c>
      <c r="M284" t="str">
        <f t="shared" ca="1" si="59"/>
        <v xml:space="preserve">5 YEAR 5 MONTH 4 DAY </v>
      </c>
    </row>
    <row r="285" spans="1:13">
      <c r="A285" s="13">
        <f t="shared" ca="1" si="51"/>
        <v>43675</v>
      </c>
      <c r="B285">
        <f t="shared" ca="1" si="52"/>
        <v>7</v>
      </c>
      <c r="C285">
        <f t="shared" ca="1" si="60"/>
        <v>2019</v>
      </c>
      <c r="D285">
        <f t="shared" ca="1" si="61"/>
        <v>29</v>
      </c>
      <c r="E285" t="str">
        <f t="shared" ca="1" si="62"/>
        <v>Monday</v>
      </c>
      <c r="F285" s="12">
        <v>45999</v>
      </c>
      <c r="G285">
        <f t="shared" si="53"/>
        <v>8</v>
      </c>
      <c r="H285">
        <f t="shared" si="54"/>
        <v>12</v>
      </c>
      <c r="I285">
        <f t="shared" si="55"/>
        <v>2025</v>
      </c>
      <c r="J285" t="str">
        <f t="shared" si="56"/>
        <v>Monday</v>
      </c>
      <c r="K285" t="str">
        <f t="shared" si="57"/>
        <v>December</v>
      </c>
      <c r="L285" t="str">
        <f t="shared" ca="1" si="58"/>
        <v>0 YEAR 5 MONTH 14 DAY</v>
      </c>
      <c r="M285" t="str">
        <f t="shared" ca="1" si="59"/>
        <v xml:space="preserve">6 YEAR 9 MONTH 23 DAY </v>
      </c>
    </row>
    <row r="286" spans="1:13">
      <c r="A286" s="13">
        <f t="shared" ca="1" si="51"/>
        <v>45134</v>
      </c>
      <c r="B286">
        <f t="shared" ca="1" si="52"/>
        <v>7</v>
      </c>
      <c r="C286">
        <f t="shared" ca="1" si="60"/>
        <v>2023</v>
      </c>
      <c r="D286">
        <f t="shared" ca="1" si="61"/>
        <v>27</v>
      </c>
      <c r="E286" t="str">
        <f t="shared" ca="1" si="62"/>
        <v>Thursday</v>
      </c>
      <c r="F286" s="12">
        <v>46000</v>
      </c>
      <c r="G286">
        <f t="shared" si="53"/>
        <v>9</v>
      </c>
      <c r="H286">
        <f t="shared" si="54"/>
        <v>12</v>
      </c>
      <c r="I286">
        <f t="shared" si="55"/>
        <v>2025</v>
      </c>
      <c r="J286" t="str">
        <f t="shared" si="56"/>
        <v>Tuesday</v>
      </c>
      <c r="K286" t="str">
        <f t="shared" si="57"/>
        <v>December</v>
      </c>
      <c r="L286" t="str">
        <f t="shared" ca="1" si="58"/>
        <v>0 YEAR 5 MONTH 13 DAY</v>
      </c>
      <c r="M286" t="str">
        <f t="shared" ca="1" si="59"/>
        <v xml:space="preserve">2 YEAR 9 MONTH 25 DAY </v>
      </c>
    </row>
    <row r="287" spans="1:13">
      <c r="A287" s="13">
        <f t="shared" ca="1" si="51"/>
        <v>45397</v>
      </c>
      <c r="B287">
        <f t="shared" ca="1" si="52"/>
        <v>4</v>
      </c>
      <c r="C287">
        <f t="shared" ca="1" si="60"/>
        <v>2024</v>
      </c>
      <c r="D287">
        <f t="shared" ca="1" si="61"/>
        <v>15</v>
      </c>
      <c r="E287" t="str">
        <f t="shared" ca="1" si="62"/>
        <v>Monday</v>
      </c>
      <c r="F287" s="12">
        <v>46001</v>
      </c>
      <c r="G287">
        <f t="shared" si="53"/>
        <v>10</v>
      </c>
      <c r="H287">
        <f t="shared" si="54"/>
        <v>12</v>
      </c>
      <c r="I287">
        <f t="shared" si="55"/>
        <v>2025</v>
      </c>
      <c r="J287" t="str">
        <f t="shared" si="56"/>
        <v>Wednesday</v>
      </c>
      <c r="K287" t="str">
        <f t="shared" si="57"/>
        <v>December</v>
      </c>
      <c r="L287" t="str">
        <f t="shared" ca="1" si="58"/>
        <v>0 YEAR 5 MONTH 12 DAY</v>
      </c>
      <c r="M287" t="str">
        <f t="shared" ca="1" si="59"/>
        <v xml:space="preserve">2 YEAR 1 MONTH 7 DAY </v>
      </c>
    </row>
    <row r="288" spans="1:13">
      <c r="A288" s="13">
        <f t="shared" ca="1" si="51"/>
        <v>37927</v>
      </c>
      <c r="B288">
        <f t="shared" ca="1" si="52"/>
        <v>11</v>
      </c>
      <c r="C288">
        <f t="shared" ca="1" si="60"/>
        <v>2003</v>
      </c>
      <c r="D288">
        <f t="shared" ca="1" si="61"/>
        <v>2</v>
      </c>
      <c r="E288" t="str">
        <f t="shared" ca="1" si="62"/>
        <v>Sunday</v>
      </c>
      <c r="F288" s="12">
        <v>46002</v>
      </c>
      <c r="G288">
        <f t="shared" si="53"/>
        <v>11</v>
      </c>
      <c r="H288">
        <f t="shared" si="54"/>
        <v>12</v>
      </c>
      <c r="I288">
        <f t="shared" si="55"/>
        <v>2025</v>
      </c>
      <c r="J288" t="str">
        <f t="shared" si="56"/>
        <v>Thursday</v>
      </c>
      <c r="K288" t="str">
        <f t="shared" si="57"/>
        <v>December</v>
      </c>
      <c r="L288" t="str">
        <f t="shared" ca="1" si="58"/>
        <v>0 YEAR 5 MONTH 11 DAY</v>
      </c>
      <c r="M288" t="str">
        <f t="shared" ca="1" si="59"/>
        <v xml:space="preserve">22 YEAR 6 MONTH 20 DAY </v>
      </c>
    </row>
    <row r="289" spans="1:13">
      <c r="A289" s="13">
        <f t="shared" ca="1" si="51"/>
        <v>44776</v>
      </c>
      <c r="B289">
        <f t="shared" ca="1" si="52"/>
        <v>8</v>
      </c>
      <c r="C289">
        <f t="shared" ca="1" si="60"/>
        <v>2022</v>
      </c>
      <c r="D289">
        <f t="shared" ca="1" si="61"/>
        <v>3</v>
      </c>
      <c r="E289" t="str">
        <f t="shared" ca="1" si="62"/>
        <v>Wednesday</v>
      </c>
      <c r="F289" s="12">
        <v>46003</v>
      </c>
      <c r="G289">
        <f t="shared" si="53"/>
        <v>12</v>
      </c>
      <c r="H289">
        <f t="shared" si="54"/>
        <v>12</v>
      </c>
      <c r="I289">
        <f t="shared" si="55"/>
        <v>2025</v>
      </c>
      <c r="J289" t="str">
        <f t="shared" si="56"/>
        <v>Friday</v>
      </c>
      <c r="K289" t="str">
        <f t="shared" si="57"/>
        <v>December</v>
      </c>
      <c r="L289" t="str">
        <f t="shared" ca="1" si="58"/>
        <v>0 YEAR 5 MONTH 10 DAY</v>
      </c>
      <c r="M289" t="str">
        <f t="shared" ca="1" si="59"/>
        <v xml:space="preserve">3 YEAR 9 MONTH 19 DAY </v>
      </c>
    </row>
    <row r="290" spans="1:13">
      <c r="A290" s="13">
        <f t="shared" ca="1" si="51"/>
        <v>39826</v>
      </c>
      <c r="B290">
        <f t="shared" ca="1" si="52"/>
        <v>1</v>
      </c>
      <c r="C290">
        <f t="shared" ca="1" si="60"/>
        <v>2009</v>
      </c>
      <c r="D290">
        <f t="shared" ca="1" si="61"/>
        <v>13</v>
      </c>
      <c r="E290" t="str">
        <f t="shared" ca="1" si="62"/>
        <v>Tuesday</v>
      </c>
      <c r="F290" s="12">
        <v>46004</v>
      </c>
      <c r="G290">
        <f t="shared" si="53"/>
        <v>13</v>
      </c>
      <c r="H290">
        <f t="shared" si="54"/>
        <v>12</v>
      </c>
      <c r="I290">
        <f t="shared" si="55"/>
        <v>2025</v>
      </c>
      <c r="J290" t="str">
        <f t="shared" si="56"/>
        <v>Saturday</v>
      </c>
      <c r="K290" t="str">
        <f t="shared" si="57"/>
        <v>December</v>
      </c>
      <c r="L290" t="str">
        <f t="shared" ca="1" si="58"/>
        <v>0 YEAR 5 MONTH 9 DAY</v>
      </c>
      <c r="M290" t="str">
        <f t="shared" ca="1" si="59"/>
        <v xml:space="preserve">17 YEAR 4 MONTH 9 DAY </v>
      </c>
    </row>
    <row r="291" spans="1:13">
      <c r="A291" s="13">
        <f t="shared" ca="1" si="51"/>
        <v>44012</v>
      </c>
      <c r="B291">
        <f t="shared" ca="1" si="52"/>
        <v>6</v>
      </c>
      <c r="C291">
        <f t="shared" ca="1" si="60"/>
        <v>2020</v>
      </c>
      <c r="D291">
        <f t="shared" ca="1" si="61"/>
        <v>30</v>
      </c>
      <c r="E291" t="str">
        <f t="shared" ca="1" si="62"/>
        <v>Tuesday</v>
      </c>
      <c r="F291" s="12">
        <v>46005</v>
      </c>
      <c r="G291">
        <f t="shared" si="53"/>
        <v>14</v>
      </c>
      <c r="H291">
        <f t="shared" si="54"/>
        <v>12</v>
      </c>
      <c r="I291">
        <f t="shared" si="55"/>
        <v>2025</v>
      </c>
      <c r="J291" t="str">
        <f t="shared" si="56"/>
        <v>Sunday</v>
      </c>
      <c r="K291" t="str">
        <f t="shared" si="57"/>
        <v>December</v>
      </c>
      <c r="L291" t="str">
        <f t="shared" ca="1" si="58"/>
        <v>0 YEAR 5 MONTH 8 DAY</v>
      </c>
      <c r="M291" t="str">
        <f t="shared" ca="1" si="59"/>
        <v xml:space="preserve">5 YEAR 10 MONTH 22 DAY </v>
      </c>
    </row>
    <row r="292" spans="1:13">
      <c r="A292" s="13">
        <f t="shared" ca="1" si="51"/>
        <v>43640</v>
      </c>
      <c r="B292">
        <f t="shared" ca="1" si="52"/>
        <v>6</v>
      </c>
      <c r="C292">
        <f t="shared" ca="1" si="60"/>
        <v>2019</v>
      </c>
      <c r="D292">
        <f t="shared" ca="1" si="61"/>
        <v>24</v>
      </c>
      <c r="E292" t="str">
        <f t="shared" ca="1" si="62"/>
        <v>Monday</v>
      </c>
      <c r="F292" s="12">
        <v>46006</v>
      </c>
      <c r="G292">
        <f t="shared" si="53"/>
        <v>15</v>
      </c>
      <c r="H292">
        <f t="shared" si="54"/>
        <v>12</v>
      </c>
      <c r="I292">
        <f t="shared" si="55"/>
        <v>2025</v>
      </c>
      <c r="J292" t="str">
        <f t="shared" si="56"/>
        <v>Monday</v>
      </c>
      <c r="K292" t="str">
        <f t="shared" si="57"/>
        <v>December</v>
      </c>
      <c r="L292" t="str">
        <f t="shared" ca="1" si="58"/>
        <v>0 YEAR 5 MONTH 7 DAY</v>
      </c>
      <c r="M292" t="str">
        <f t="shared" ca="1" si="59"/>
        <v xml:space="preserve">6 YEAR 10 MONTH 28 DAY </v>
      </c>
    </row>
    <row r="293" spans="1:13">
      <c r="A293" s="13">
        <f t="shared" ca="1" si="51"/>
        <v>45385</v>
      </c>
      <c r="B293">
        <f t="shared" ca="1" si="52"/>
        <v>4</v>
      </c>
      <c r="C293">
        <f t="shared" ca="1" si="60"/>
        <v>2024</v>
      </c>
      <c r="D293">
        <f t="shared" ca="1" si="61"/>
        <v>3</v>
      </c>
      <c r="E293" t="str">
        <f t="shared" ca="1" si="62"/>
        <v>Wednesday</v>
      </c>
      <c r="F293" s="12">
        <v>46007</v>
      </c>
      <c r="G293">
        <f t="shared" si="53"/>
        <v>16</v>
      </c>
      <c r="H293">
        <f t="shared" si="54"/>
        <v>12</v>
      </c>
      <c r="I293">
        <f t="shared" si="55"/>
        <v>2025</v>
      </c>
      <c r="J293" t="str">
        <f t="shared" si="56"/>
        <v>Tuesday</v>
      </c>
      <c r="K293" t="str">
        <f t="shared" si="57"/>
        <v>December</v>
      </c>
      <c r="L293" t="str">
        <f t="shared" ca="1" si="58"/>
        <v>0 YEAR 5 MONTH 6 DAY</v>
      </c>
      <c r="M293" t="str">
        <f t="shared" ca="1" si="59"/>
        <v xml:space="preserve">2 YEAR 1 MONTH 19 DAY </v>
      </c>
    </row>
    <row r="294" spans="1:13">
      <c r="A294" s="13">
        <f t="shared" ca="1" si="51"/>
        <v>46112</v>
      </c>
      <c r="B294">
        <f t="shared" ca="1" si="52"/>
        <v>3</v>
      </c>
      <c r="C294">
        <f t="shared" ca="1" si="60"/>
        <v>2026</v>
      </c>
      <c r="D294">
        <f t="shared" ca="1" si="61"/>
        <v>31</v>
      </c>
      <c r="E294" t="str">
        <f t="shared" ca="1" si="62"/>
        <v>Tuesday</v>
      </c>
      <c r="F294" s="12">
        <v>46008</v>
      </c>
      <c r="G294">
        <f t="shared" si="53"/>
        <v>17</v>
      </c>
      <c r="H294">
        <f t="shared" si="54"/>
        <v>12</v>
      </c>
      <c r="I294">
        <f t="shared" si="55"/>
        <v>2025</v>
      </c>
      <c r="J294" t="str">
        <f t="shared" si="56"/>
        <v>Wednesday</v>
      </c>
      <c r="K294" t="str">
        <f t="shared" si="57"/>
        <v>December</v>
      </c>
      <c r="L294" t="str">
        <f t="shared" ca="1" si="58"/>
        <v>0 YEAR 5 MONTH 5 DAY</v>
      </c>
      <c r="M294" t="str">
        <f t="shared" ca="1" si="59"/>
        <v xml:space="preserve">0 YEAR 1 MONTH 21 DAY </v>
      </c>
    </row>
    <row r="295" spans="1:13">
      <c r="A295" s="13">
        <f t="shared" ca="1" si="51"/>
        <v>45114</v>
      </c>
      <c r="B295">
        <f t="shared" ca="1" si="52"/>
        <v>7</v>
      </c>
      <c r="C295">
        <f t="shared" ca="1" si="60"/>
        <v>2023</v>
      </c>
      <c r="D295">
        <f t="shared" ca="1" si="61"/>
        <v>7</v>
      </c>
      <c r="E295" t="str">
        <f t="shared" ca="1" si="62"/>
        <v>Friday</v>
      </c>
      <c r="F295" s="12">
        <v>46009</v>
      </c>
      <c r="G295">
        <f t="shared" si="53"/>
        <v>18</v>
      </c>
      <c r="H295">
        <f t="shared" si="54"/>
        <v>12</v>
      </c>
      <c r="I295">
        <f t="shared" si="55"/>
        <v>2025</v>
      </c>
      <c r="J295" t="str">
        <f t="shared" si="56"/>
        <v>Thursday</v>
      </c>
      <c r="K295" t="str">
        <f t="shared" si="57"/>
        <v>December</v>
      </c>
      <c r="L295" t="str">
        <f t="shared" ca="1" si="58"/>
        <v>0 YEAR 5 MONTH 4 DAY</v>
      </c>
      <c r="M295" t="str">
        <f t="shared" ca="1" si="59"/>
        <v xml:space="preserve">2 YEAR 10 MONTH 15 DAY </v>
      </c>
    </row>
    <row r="296" spans="1:13">
      <c r="A296" s="13">
        <f t="shared" ca="1" si="51"/>
        <v>40443</v>
      </c>
      <c r="B296">
        <f t="shared" ca="1" si="52"/>
        <v>9</v>
      </c>
      <c r="C296">
        <f t="shared" ca="1" si="60"/>
        <v>2010</v>
      </c>
      <c r="D296">
        <f t="shared" ca="1" si="61"/>
        <v>22</v>
      </c>
      <c r="E296" t="str">
        <f t="shared" ca="1" si="62"/>
        <v>Wednesday</v>
      </c>
      <c r="F296" s="12">
        <v>46010</v>
      </c>
      <c r="G296">
        <f t="shared" si="53"/>
        <v>19</v>
      </c>
      <c r="H296">
        <f t="shared" si="54"/>
        <v>12</v>
      </c>
      <c r="I296">
        <f t="shared" si="55"/>
        <v>2025</v>
      </c>
      <c r="J296" t="str">
        <f t="shared" si="56"/>
        <v>Friday</v>
      </c>
      <c r="K296" t="str">
        <f t="shared" si="57"/>
        <v>December</v>
      </c>
      <c r="L296" t="str">
        <f t="shared" ca="1" si="58"/>
        <v>0 YEAR 5 MONTH 3 DAY</v>
      </c>
      <c r="M296" t="str">
        <f t="shared" ca="1" si="59"/>
        <v xml:space="preserve">15 YEAR 8 MONTH 0 DAY </v>
      </c>
    </row>
    <row r="297" spans="1:13">
      <c r="A297" s="13">
        <f t="shared" ca="1" si="51"/>
        <v>41044</v>
      </c>
      <c r="B297">
        <f t="shared" ca="1" si="52"/>
        <v>5</v>
      </c>
      <c r="C297">
        <f t="shared" ca="1" si="60"/>
        <v>2012</v>
      </c>
      <c r="D297">
        <f t="shared" ca="1" si="61"/>
        <v>15</v>
      </c>
      <c r="E297" t="str">
        <f t="shared" ca="1" si="62"/>
        <v>Tuesday</v>
      </c>
      <c r="F297" s="12">
        <v>46011</v>
      </c>
      <c r="G297">
        <f t="shared" si="53"/>
        <v>20</v>
      </c>
      <c r="H297">
        <f t="shared" si="54"/>
        <v>12</v>
      </c>
      <c r="I297">
        <f t="shared" si="55"/>
        <v>2025</v>
      </c>
      <c r="J297" t="str">
        <f t="shared" si="56"/>
        <v>Saturday</v>
      </c>
      <c r="K297" t="str">
        <f t="shared" si="57"/>
        <v>December</v>
      </c>
      <c r="L297" t="str">
        <f t="shared" ca="1" si="58"/>
        <v>0 YEAR 5 MONTH 2 DAY</v>
      </c>
      <c r="M297" t="str">
        <f t="shared" ca="1" si="59"/>
        <v xml:space="preserve">14 YEAR 0 MONTH 7 DAY </v>
      </c>
    </row>
    <row r="298" spans="1:13">
      <c r="A298" s="13">
        <f t="shared" ca="1" si="51"/>
        <v>45463</v>
      </c>
      <c r="B298">
        <f t="shared" ca="1" si="52"/>
        <v>6</v>
      </c>
      <c r="C298">
        <f t="shared" ca="1" si="60"/>
        <v>2024</v>
      </c>
      <c r="D298">
        <f t="shared" ca="1" si="61"/>
        <v>20</v>
      </c>
      <c r="E298" t="str">
        <f t="shared" ca="1" si="62"/>
        <v>Thursday</v>
      </c>
      <c r="F298" s="12">
        <v>46012</v>
      </c>
      <c r="G298">
        <f t="shared" si="53"/>
        <v>21</v>
      </c>
      <c r="H298">
        <f t="shared" si="54"/>
        <v>12</v>
      </c>
      <c r="I298">
        <f t="shared" si="55"/>
        <v>2025</v>
      </c>
      <c r="J298" t="str">
        <f t="shared" si="56"/>
        <v>Sunday</v>
      </c>
      <c r="K298" t="str">
        <f t="shared" si="57"/>
        <v>December</v>
      </c>
      <c r="L298" t="str">
        <f t="shared" ca="1" si="58"/>
        <v>0 YEAR 5 MONTH 1 DAY</v>
      </c>
      <c r="M298" t="str">
        <f t="shared" ca="1" si="59"/>
        <v xml:space="preserve">1 YEAR 11 MONTH 2 DAY </v>
      </c>
    </row>
    <row r="299" spans="1:13">
      <c r="A299" s="13">
        <f t="shared" ca="1" si="51"/>
        <v>45187</v>
      </c>
      <c r="B299">
        <f t="shared" ca="1" si="52"/>
        <v>9</v>
      </c>
      <c r="C299">
        <f t="shared" ca="1" si="60"/>
        <v>2023</v>
      </c>
      <c r="D299">
        <f t="shared" ca="1" si="61"/>
        <v>18</v>
      </c>
      <c r="E299" t="str">
        <f t="shared" ca="1" si="62"/>
        <v>Monday</v>
      </c>
      <c r="F299" s="12">
        <v>46013</v>
      </c>
      <c r="G299">
        <f t="shared" si="53"/>
        <v>22</v>
      </c>
      <c r="H299">
        <f t="shared" si="54"/>
        <v>12</v>
      </c>
      <c r="I299">
        <f t="shared" si="55"/>
        <v>2025</v>
      </c>
      <c r="J299" t="str">
        <f t="shared" si="56"/>
        <v>Monday</v>
      </c>
      <c r="K299" t="str">
        <f t="shared" si="57"/>
        <v>December</v>
      </c>
      <c r="L299" t="str">
        <f t="shared" ca="1" si="58"/>
        <v>0 YEAR 5 MONTH 0 DAY</v>
      </c>
      <c r="M299" t="str">
        <f t="shared" ca="1" si="59"/>
        <v xml:space="preserve">2 YEAR 8 MONTH 4 DAY </v>
      </c>
    </row>
    <row r="300" spans="1:13">
      <c r="A300" s="13">
        <f t="shared" ca="1" si="51"/>
        <v>39433</v>
      </c>
      <c r="B300">
        <f t="shared" ca="1" si="52"/>
        <v>12</v>
      </c>
      <c r="C300">
        <f t="shared" ca="1" si="60"/>
        <v>2007</v>
      </c>
      <c r="D300">
        <f t="shared" ca="1" si="61"/>
        <v>17</v>
      </c>
      <c r="E300" t="str">
        <f t="shared" ca="1" si="62"/>
        <v>Monday</v>
      </c>
      <c r="F300" s="12">
        <v>46014</v>
      </c>
      <c r="G300">
        <f t="shared" si="53"/>
        <v>23</v>
      </c>
      <c r="H300">
        <f t="shared" si="54"/>
        <v>12</v>
      </c>
      <c r="I300">
        <f t="shared" si="55"/>
        <v>2025</v>
      </c>
      <c r="J300" t="str">
        <f t="shared" si="56"/>
        <v>Tuesday</v>
      </c>
      <c r="K300" t="str">
        <f t="shared" si="57"/>
        <v>December</v>
      </c>
      <c r="L300" t="str">
        <f t="shared" ca="1" si="58"/>
        <v>0 YEAR 4 MONTH 29 DAY</v>
      </c>
      <c r="M300" t="str">
        <f t="shared" ca="1" si="59"/>
        <v xml:space="preserve">18 YEAR 5 MONTH 5 DAY </v>
      </c>
    </row>
    <row r="301" spans="1:13">
      <c r="A301" s="13">
        <f t="shared" ca="1" si="51"/>
        <v>41695</v>
      </c>
      <c r="B301">
        <f t="shared" ca="1" si="52"/>
        <v>2</v>
      </c>
      <c r="C301">
        <f t="shared" ca="1" si="60"/>
        <v>2014</v>
      </c>
      <c r="D301">
        <f t="shared" ca="1" si="61"/>
        <v>25</v>
      </c>
      <c r="E301" t="str">
        <f t="shared" ca="1" si="62"/>
        <v>Tuesday</v>
      </c>
      <c r="F301" s="12">
        <v>46015</v>
      </c>
      <c r="G301">
        <f t="shared" si="53"/>
        <v>24</v>
      </c>
      <c r="H301">
        <f t="shared" si="54"/>
        <v>12</v>
      </c>
      <c r="I301">
        <f t="shared" si="55"/>
        <v>2025</v>
      </c>
      <c r="J301" t="str">
        <f t="shared" si="56"/>
        <v>Wednesday</v>
      </c>
      <c r="K301" t="str">
        <f t="shared" si="57"/>
        <v>December</v>
      </c>
      <c r="L301" t="str">
        <f t="shared" ca="1" si="58"/>
        <v>0 YEAR 4 MONTH 28 DAY</v>
      </c>
      <c r="M301" t="str">
        <f t="shared" ca="1" si="59"/>
        <v xml:space="preserve">12 YEAR 2 MONTH 27 DAY </v>
      </c>
    </row>
    <row r="302" spans="1:13">
      <c r="A302" s="13">
        <f t="shared" ca="1" si="51"/>
        <v>41034</v>
      </c>
      <c r="B302">
        <f t="shared" ca="1" si="52"/>
        <v>5</v>
      </c>
      <c r="C302">
        <f t="shared" ca="1" si="60"/>
        <v>2012</v>
      </c>
      <c r="D302">
        <f t="shared" ca="1" si="61"/>
        <v>5</v>
      </c>
      <c r="E302" t="str">
        <f t="shared" ca="1" si="62"/>
        <v>Saturday</v>
      </c>
      <c r="F302" s="12">
        <v>46016</v>
      </c>
      <c r="G302">
        <f t="shared" si="53"/>
        <v>25</v>
      </c>
      <c r="H302">
        <f t="shared" si="54"/>
        <v>12</v>
      </c>
      <c r="I302">
        <f t="shared" si="55"/>
        <v>2025</v>
      </c>
      <c r="J302" t="str">
        <f t="shared" si="56"/>
        <v>Thursday</v>
      </c>
      <c r="K302" t="str">
        <f t="shared" si="57"/>
        <v>December</v>
      </c>
      <c r="L302" t="str">
        <f t="shared" ca="1" si="58"/>
        <v>0 YEAR 4 MONTH 27 DAY</v>
      </c>
      <c r="M302" t="str">
        <f t="shared" ca="1" si="59"/>
        <v xml:space="preserve">14 YEAR 0 MONTH 17 DAY </v>
      </c>
    </row>
    <row r="303" spans="1:13">
      <c r="A303" s="13">
        <f t="shared" ca="1" si="51"/>
        <v>44246</v>
      </c>
      <c r="B303">
        <f t="shared" ca="1" si="52"/>
        <v>2</v>
      </c>
      <c r="C303">
        <f t="shared" ca="1" si="60"/>
        <v>2021</v>
      </c>
      <c r="D303">
        <f t="shared" ca="1" si="61"/>
        <v>19</v>
      </c>
      <c r="E303" t="str">
        <f t="shared" ca="1" si="62"/>
        <v>Friday</v>
      </c>
      <c r="F303" s="12">
        <v>46017</v>
      </c>
      <c r="G303">
        <f t="shared" si="53"/>
        <v>26</v>
      </c>
      <c r="H303">
        <f t="shared" si="54"/>
        <v>12</v>
      </c>
      <c r="I303">
        <f t="shared" si="55"/>
        <v>2025</v>
      </c>
      <c r="J303" t="str">
        <f t="shared" si="56"/>
        <v>Friday</v>
      </c>
      <c r="K303" t="str">
        <f t="shared" si="57"/>
        <v>December</v>
      </c>
      <c r="L303" t="str">
        <f t="shared" ca="1" si="58"/>
        <v>0 YEAR 4 MONTH 26 DAY</v>
      </c>
      <c r="M303" t="str">
        <f t="shared" ca="1" si="59"/>
        <v xml:space="preserve">5 YEAR 3 MONTH 3 DAY </v>
      </c>
    </row>
    <row r="304" spans="1:13">
      <c r="A304" s="13">
        <f t="shared" ca="1" si="51"/>
        <v>40598</v>
      </c>
      <c r="B304">
        <f t="shared" ca="1" si="52"/>
        <v>2</v>
      </c>
      <c r="C304">
        <f t="shared" ca="1" si="60"/>
        <v>2011</v>
      </c>
      <c r="D304">
        <f t="shared" ca="1" si="61"/>
        <v>24</v>
      </c>
      <c r="E304" t="str">
        <f t="shared" ca="1" si="62"/>
        <v>Thursday</v>
      </c>
      <c r="F304" s="12">
        <v>46018</v>
      </c>
      <c r="G304">
        <f t="shared" si="53"/>
        <v>27</v>
      </c>
      <c r="H304">
        <f t="shared" si="54"/>
        <v>12</v>
      </c>
      <c r="I304">
        <f t="shared" si="55"/>
        <v>2025</v>
      </c>
      <c r="J304" t="str">
        <f t="shared" si="56"/>
        <v>Saturday</v>
      </c>
      <c r="K304" t="str">
        <f t="shared" si="57"/>
        <v>December</v>
      </c>
      <c r="L304" t="str">
        <f t="shared" ca="1" si="58"/>
        <v>0 YEAR 4 MONTH 25 DAY</v>
      </c>
      <c r="M304" t="str">
        <f t="shared" ca="1" si="59"/>
        <v xml:space="preserve">15 YEAR 2 MONTH 28 DAY </v>
      </c>
    </row>
    <row r="305" spans="1:13">
      <c r="A305" s="13">
        <f t="shared" ca="1" si="51"/>
        <v>41548</v>
      </c>
      <c r="B305">
        <f t="shared" ca="1" si="52"/>
        <v>10</v>
      </c>
      <c r="C305">
        <f t="shared" ca="1" si="60"/>
        <v>2013</v>
      </c>
      <c r="D305">
        <f t="shared" ca="1" si="61"/>
        <v>1</v>
      </c>
      <c r="E305" t="str">
        <f t="shared" ca="1" si="62"/>
        <v>Tuesday</v>
      </c>
      <c r="F305" s="12">
        <v>46019</v>
      </c>
      <c r="G305">
        <f t="shared" si="53"/>
        <v>28</v>
      </c>
      <c r="H305">
        <f t="shared" si="54"/>
        <v>12</v>
      </c>
      <c r="I305">
        <f t="shared" si="55"/>
        <v>2025</v>
      </c>
      <c r="J305" t="str">
        <f t="shared" si="56"/>
        <v>Sunday</v>
      </c>
      <c r="K305" t="str">
        <f t="shared" si="57"/>
        <v>December</v>
      </c>
      <c r="L305" t="str">
        <f t="shared" ca="1" si="58"/>
        <v>0 YEAR 4 MONTH 24 DAY</v>
      </c>
      <c r="M305" t="str">
        <f t="shared" ca="1" si="59"/>
        <v xml:space="preserve">12 YEAR 7 MONTH 21 DAY </v>
      </c>
    </row>
    <row r="306" spans="1:13">
      <c r="A306" s="13">
        <f t="shared" ca="1" si="51"/>
        <v>45599</v>
      </c>
      <c r="B306">
        <f t="shared" ca="1" si="52"/>
        <v>11</v>
      </c>
      <c r="C306">
        <f t="shared" ca="1" si="60"/>
        <v>2024</v>
      </c>
      <c r="D306">
        <f t="shared" ca="1" si="61"/>
        <v>3</v>
      </c>
      <c r="E306" t="str">
        <f t="shared" ca="1" si="62"/>
        <v>Sunday</v>
      </c>
      <c r="F306" s="12">
        <v>46020</v>
      </c>
      <c r="G306">
        <f t="shared" si="53"/>
        <v>29</v>
      </c>
      <c r="H306">
        <f t="shared" si="54"/>
        <v>12</v>
      </c>
      <c r="I306">
        <f t="shared" si="55"/>
        <v>2025</v>
      </c>
      <c r="J306" t="str">
        <f t="shared" si="56"/>
        <v>Monday</v>
      </c>
      <c r="K306" t="str">
        <f t="shared" si="57"/>
        <v>December</v>
      </c>
      <c r="L306" t="str">
        <f t="shared" ca="1" si="58"/>
        <v>0 YEAR 4 MONTH 23 DAY</v>
      </c>
      <c r="M306" t="str">
        <f t="shared" ca="1" si="59"/>
        <v xml:space="preserve">1 YEAR 6 MONTH 19 DAY </v>
      </c>
    </row>
    <row r="307" spans="1:13">
      <c r="A307" s="13">
        <f t="shared" ca="1" si="51"/>
        <v>41833</v>
      </c>
      <c r="B307">
        <f t="shared" ca="1" si="52"/>
        <v>7</v>
      </c>
      <c r="C307">
        <f t="shared" ca="1" si="60"/>
        <v>2014</v>
      </c>
      <c r="D307">
        <f t="shared" ca="1" si="61"/>
        <v>13</v>
      </c>
      <c r="E307" t="str">
        <f t="shared" ca="1" si="62"/>
        <v>Sunday</v>
      </c>
      <c r="F307" s="12">
        <v>46021</v>
      </c>
      <c r="G307">
        <f t="shared" si="53"/>
        <v>30</v>
      </c>
      <c r="H307">
        <f t="shared" si="54"/>
        <v>12</v>
      </c>
      <c r="I307">
        <f t="shared" si="55"/>
        <v>2025</v>
      </c>
      <c r="J307" t="str">
        <f t="shared" si="56"/>
        <v>Tuesday</v>
      </c>
      <c r="K307" t="str">
        <f t="shared" si="57"/>
        <v>December</v>
      </c>
      <c r="L307" t="str">
        <f t="shared" ca="1" si="58"/>
        <v>0 YEAR 4 MONTH 22 DAY</v>
      </c>
      <c r="M307" t="str">
        <f t="shared" ca="1" si="59"/>
        <v xml:space="preserve">11 YEAR 10 MONTH 9 DAY </v>
      </c>
    </row>
    <row r="308" spans="1:13">
      <c r="A308" s="13">
        <f t="shared" ca="1" si="51"/>
        <v>42802</v>
      </c>
      <c r="B308">
        <f t="shared" ca="1" si="52"/>
        <v>3</v>
      </c>
      <c r="C308">
        <f t="shared" ca="1" si="60"/>
        <v>2017</v>
      </c>
      <c r="D308">
        <f t="shared" ca="1" si="61"/>
        <v>8</v>
      </c>
      <c r="E308" t="str">
        <f t="shared" ca="1" si="62"/>
        <v>Wednesday</v>
      </c>
      <c r="F308" s="12">
        <v>46022</v>
      </c>
      <c r="G308">
        <f t="shared" si="53"/>
        <v>31</v>
      </c>
      <c r="H308">
        <f t="shared" si="54"/>
        <v>12</v>
      </c>
      <c r="I308">
        <f t="shared" si="55"/>
        <v>2025</v>
      </c>
      <c r="J308" t="str">
        <f t="shared" si="56"/>
        <v>Wednesday</v>
      </c>
      <c r="K308" t="str">
        <f t="shared" si="57"/>
        <v>December</v>
      </c>
      <c r="L308" t="str">
        <f t="shared" ca="1" si="58"/>
        <v>0 YEAR 4 MONTH 21 DAY</v>
      </c>
      <c r="M308" t="str">
        <f t="shared" ca="1" si="59"/>
        <v xml:space="preserve">9 YEAR 2 MONTH 14 DAY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E4C7-D66A-4194-9E67-90F5B2E2DAC4}">
  <dimension ref="A1:Y23"/>
  <sheetViews>
    <sheetView zoomScale="62" workbookViewId="0">
      <selection activeCell="X21" sqref="X21"/>
    </sheetView>
  </sheetViews>
  <sheetFormatPr defaultRowHeight="15"/>
  <cols>
    <col min="22" max="22" width="17.42578125" bestFit="1" customWidth="1"/>
    <col min="23" max="23" width="13.5703125" bestFit="1" customWidth="1"/>
    <col min="24" max="24" width="17" bestFit="1" customWidth="1"/>
  </cols>
  <sheetData>
    <row r="1" spans="1:24">
      <c r="A1" t="s">
        <v>144</v>
      </c>
    </row>
    <row r="2" spans="1:24">
      <c r="A2" t="s">
        <v>145</v>
      </c>
      <c r="E2" t="s">
        <v>146</v>
      </c>
      <c r="J2" t="s">
        <v>147</v>
      </c>
      <c r="L2" t="s">
        <v>150</v>
      </c>
    </row>
    <row r="3" spans="1:24">
      <c r="A3">
        <v>0</v>
      </c>
      <c r="B3">
        <v>0</v>
      </c>
      <c r="C3" t="b">
        <f>AND(A3,B3)</f>
        <v>0</v>
      </c>
      <c r="D3" t="b">
        <f>OR(A3,B3)</f>
        <v>0</v>
      </c>
    </row>
    <row r="4" spans="1:24">
      <c r="A4">
        <v>0</v>
      </c>
      <c r="B4">
        <v>1</v>
      </c>
      <c r="C4" t="b">
        <f t="shared" ref="C4:C6" si="0">AND(A4,B4)</f>
        <v>0</v>
      </c>
      <c r="D4" t="b">
        <f t="shared" ref="D4:D6" si="1">OR(A4,B4)</f>
        <v>1</v>
      </c>
      <c r="U4">
        <v>1</v>
      </c>
      <c r="V4" t="s">
        <v>151</v>
      </c>
      <c r="W4" t="str">
        <f>LEFT(V4,3)&amp;LEN(V4)</f>
        <v>SAN7</v>
      </c>
    </row>
    <row r="5" spans="1:24">
      <c r="A5">
        <v>1</v>
      </c>
      <c r="B5">
        <v>0</v>
      </c>
      <c r="C5" t="b">
        <f t="shared" si="0"/>
        <v>0</v>
      </c>
      <c r="D5" t="b">
        <f t="shared" si="1"/>
        <v>1</v>
      </c>
      <c r="U5">
        <v>2</v>
      </c>
      <c r="V5" s="12">
        <f ca="1">TODAY()</f>
        <v>46164</v>
      </c>
      <c r="W5">
        <f>WEEKDAY(X4,12)</f>
        <v>5</v>
      </c>
      <c r="X5" t="str">
        <f ca="1">TEXT(V5,"DDDD")</f>
        <v>Friday</v>
      </c>
    </row>
    <row r="6" spans="1:24">
      <c r="A6">
        <v>1</v>
      </c>
      <c r="B6">
        <v>1</v>
      </c>
      <c r="C6" t="b">
        <f t="shared" si="0"/>
        <v>1</v>
      </c>
      <c r="D6" t="b">
        <f t="shared" si="1"/>
        <v>1</v>
      </c>
      <c r="U6">
        <v>3</v>
      </c>
      <c r="V6" s="17">
        <f ca="1">NOW()</f>
        <v>46164.63464236111</v>
      </c>
      <c r="W6" t="str">
        <f ca="1">IF(TEXT(V6,"DDDD")= "MONDAY","YES MONDAY","NOT MONDAY")</f>
        <v>NOT MONDAY</v>
      </c>
    </row>
    <row r="7" spans="1:24">
      <c r="U7">
        <v>4</v>
      </c>
      <c r="V7" t="s">
        <v>153</v>
      </c>
      <c r="W7" t="str">
        <f>IF(AND(LEFT(V7,1)="A",LEN(V7)=7),"ACCEPT","RE_ENTER")</f>
        <v>ACCEPT</v>
      </c>
    </row>
    <row r="8" spans="1:24">
      <c r="U8">
        <v>5</v>
      </c>
      <c r="V8" t="s">
        <v>152</v>
      </c>
      <c r="W8" t="s">
        <v>154</v>
      </c>
      <c r="X8" t="str">
        <f>IF(V8&lt;&gt;W9,"MATCH","MISMATCH")</f>
        <v>MATCH</v>
      </c>
    </row>
    <row r="9" spans="1:24">
      <c r="U9">
        <v>6</v>
      </c>
      <c r="V9" t="s">
        <v>155</v>
      </c>
      <c r="W9" t="s">
        <v>156</v>
      </c>
      <c r="X9" t="str">
        <f>IF(NOT(V9=W9),"MATCH","MISMATCH")</f>
        <v>MATCH</v>
      </c>
    </row>
    <row r="10" spans="1:24">
      <c r="U10">
        <v>7</v>
      </c>
      <c r="V10">
        <v>45</v>
      </c>
      <c r="W10" t="str">
        <f>IF(MOD(V10,2)=0,"EVEN","ODD")</f>
        <v>ODD</v>
      </c>
    </row>
    <row r="11" spans="1:24">
      <c r="U11">
        <v>8</v>
      </c>
      <c r="V11">
        <v>9461776105</v>
      </c>
      <c r="W11" t="str">
        <f>IF(AND(LEN(V11)=10,LEFT(V11,1)&gt;=6),"Valid","Invalid")</f>
        <v>Valid</v>
      </c>
    </row>
    <row r="12" spans="1:24">
      <c r="A12" t="s">
        <v>148</v>
      </c>
      <c r="U12">
        <v>9</v>
      </c>
      <c r="V12" t="s">
        <v>152</v>
      </c>
      <c r="W12" t="str">
        <f>IF(RIGHT(V12) = "A","YES","NO")</f>
        <v>YES</v>
      </c>
    </row>
    <row r="13" spans="1:24">
      <c r="A13" t="s">
        <v>149</v>
      </c>
      <c r="U13">
        <v>10</v>
      </c>
    </row>
    <row r="15" spans="1:24">
      <c r="D15">
        <v>10</v>
      </c>
      <c r="E15" t="str">
        <f>IF(D15&gt;50,"YES","NO")</f>
        <v>NO</v>
      </c>
    </row>
    <row r="16" spans="1:24">
      <c r="D16">
        <v>34</v>
      </c>
      <c r="E16" t="str">
        <f t="shared" ref="E16:E23" si="2">IF(D16&gt;50,"YES","NO")</f>
        <v>NO</v>
      </c>
    </row>
    <row r="17" spans="4:25">
      <c r="D17">
        <v>65</v>
      </c>
      <c r="E17" t="str">
        <f t="shared" si="2"/>
        <v>YES</v>
      </c>
    </row>
    <row r="18" spans="4:25">
      <c r="D18">
        <v>87</v>
      </c>
      <c r="E18" t="str">
        <f t="shared" si="2"/>
        <v>YES</v>
      </c>
    </row>
    <row r="19" spans="4:25">
      <c r="D19">
        <v>34</v>
      </c>
      <c r="E19" t="str">
        <f t="shared" si="2"/>
        <v>NO</v>
      </c>
    </row>
    <row r="20" spans="4:25">
      <c r="D20">
        <v>65</v>
      </c>
      <c r="E20" t="str">
        <f t="shared" si="2"/>
        <v>YES</v>
      </c>
    </row>
    <row r="21" spans="4:25">
      <c r="D21">
        <v>12</v>
      </c>
      <c r="E21" t="str">
        <f t="shared" si="2"/>
        <v>NO</v>
      </c>
      <c r="W21" t="s">
        <v>157</v>
      </c>
      <c r="X21" s="17"/>
      <c r="Y21" s="15" t="e">
        <f>(X21-W21)*24</f>
        <v>#VALUE!</v>
      </c>
    </row>
    <row r="22" spans="4:25">
      <c r="D22">
        <v>98</v>
      </c>
      <c r="E22" t="str">
        <f t="shared" si="2"/>
        <v>YES</v>
      </c>
    </row>
    <row r="23" spans="4:25">
      <c r="D23">
        <v>45</v>
      </c>
      <c r="E23" t="str">
        <f t="shared" si="2"/>
        <v>NO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813B-CF5D-4A55-BFC4-3465C211BB79}">
  <dimension ref="E1:BT51"/>
  <sheetViews>
    <sheetView topLeftCell="BF1" zoomScale="118" workbookViewId="0">
      <selection activeCell="BN10" sqref="BN10"/>
    </sheetView>
  </sheetViews>
  <sheetFormatPr defaultRowHeight="15"/>
  <cols>
    <col min="5" max="5" width="6.28515625" bestFit="1" customWidth="1"/>
    <col min="6" max="6" width="5.140625" bestFit="1" customWidth="1"/>
    <col min="7" max="7" width="4.140625" bestFit="1" customWidth="1"/>
    <col min="8" max="8" width="9.42578125" bestFit="1" customWidth="1"/>
    <col min="9" max="9" width="12.140625" bestFit="1" customWidth="1"/>
    <col min="10" max="10" width="12.42578125" bestFit="1" customWidth="1"/>
    <col min="11" max="11" width="8.5703125" bestFit="1" customWidth="1"/>
    <col min="12" max="12" width="12.140625" bestFit="1" customWidth="1"/>
    <col min="13" max="13" width="4.42578125" bestFit="1" customWidth="1"/>
    <col min="14" max="14" width="7.7109375" bestFit="1" customWidth="1"/>
    <col min="15" max="15" width="7.5703125" bestFit="1" customWidth="1"/>
    <col min="16" max="16" width="7.28515625" bestFit="1" customWidth="1"/>
    <col min="20" max="20" width="31.42578125" bestFit="1" customWidth="1"/>
    <col min="21" max="21" width="8.42578125" bestFit="1" customWidth="1"/>
    <col min="23" max="23" width="8.5703125" bestFit="1" customWidth="1"/>
    <col min="24" max="24" width="6.5703125" bestFit="1" customWidth="1"/>
    <col min="26" max="26" width="22.140625" bestFit="1" customWidth="1"/>
    <col min="27" max="27" width="8.5703125" bestFit="1" customWidth="1"/>
    <col min="29" max="29" width="9" bestFit="1" customWidth="1"/>
    <col min="30" max="30" width="8.85546875" bestFit="1" customWidth="1"/>
    <col min="34" max="34" width="13.140625" bestFit="1" customWidth="1"/>
    <col min="35" max="35" width="4.5703125" bestFit="1" customWidth="1"/>
    <col min="36" max="36" width="5.42578125" bestFit="1" customWidth="1"/>
    <col min="37" max="37" width="21.5703125" bestFit="1" customWidth="1"/>
    <col min="38" max="38" width="23.5703125" customWidth="1"/>
    <col min="39" max="39" width="5.5703125" bestFit="1" customWidth="1"/>
    <col min="40" max="40" width="6.28515625" bestFit="1" customWidth="1"/>
    <col min="41" max="41" width="24.5703125" bestFit="1" customWidth="1"/>
    <col min="42" max="42" width="20.85546875" bestFit="1" customWidth="1"/>
    <col min="43" max="43" width="21.42578125" bestFit="1" customWidth="1"/>
    <col min="44" max="44" width="23.85546875" bestFit="1" customWidth="1"/>
    <col min="47" max="47" width="14.85546875" bestFit="1" customWidth="1"/>
    <col min="48" max="48" width="21.42578125" bestFit="1" customWidth="1"/>
    <col min="51" max="51" width="23.85546875" bestFit="1" customWidth="1"/>
    <col min="63" max="63" width="17.5703125" bestFit="1" customWidth="1"/>
    <col min="66" max="66" width="16.5703125" bestFit="1" customWidth="1"/>
    <col min="67" max="67" width="12.42578125" style="12" bestFit="1" customWidth="1"/>
    <col min="72" max="72" width="12.42578125" bestFit="1" customWidth="1"/>
  </cols>
  <sheetData>
    <row r="1" spans="5:72"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31</v>
      </c>
      <c r="O1" t="s">
        <v>33</v>
      </c>
      <c r="P1" t="s">
        <v>107</v>
      </c>
      <c r="BK1" t="s">
        <v>128</v>
      </c>
      <c r="BO1"/>
    </row>
    <row r="2" spans="5:72">
      <c r="E2">
        <v>84</v>
      </c>
      <c r="F2">
        <f>SUM(E2+E3)</f>
        <v>96</v>
      </c>
      <c r="G2">
        <f>E3-E2</f>
        <v>-72</v>
      </c>
      <c r="H2">
        <f>E2*E3</f>
        <v>1008</v>
      </c>
      <c r="I2">
        <f>E2/E3</f>
        <v>7</v>
      </c>
      <c r="J2" s="6">
        <f>E2/100</f>
        <v>0.84</v>
      </c>
      <c r="K2">
        <f>E2^2</f>
        <v>7056</v>
      </c>
      <c r="L2">
        <f>SQRT(E2)</f>
        <v>9.1651513899116797</v>
      </c>
      <c r="M2">
        <f>ABS(G2)</f>
        <v>72</v>
      </c>
      <c r="N2">
        <f>MOD(E2,E3)</f>
        <v>0</v>
      </c>
      <c r="O2">
        <f>ROUND(L2,3)</f>
        <v>9.1649999999999991</v>
      </c>
      <c r="P2">
        <f>CEILING(O2,2)</f>
        <v>10</v>
      </c>
      <c r="BK2" t="s">
        <v>129</v>
      </c>
      <c r="BO2"/>
    </row>
    <row r="3" spans="5:72">
      <c r="E3">
        <v>12</v>
      </c>
      <c r="F3">
        <f t="shared" ref="F3:F51" si="0">SUM(E3+E4)</f>
        <v>69</v>
      </c>
      <c r="G3">
        <f t="shared" ref="G3:G51" si="1">E4-E3</f>
        <v>45</v>
      </c>
      <c r="H3">
        <f t="shared" ref="H3:H51" si="2">E3*E4</f>
        <v>684</v>
      </c>
      <c r="I3">
        <f t="shared" ref="I3:I51" si="3">E3/E4</f>
        <v>0.21052631578947367</v>
      </c>
      <c r="J3" s="6">
        <f t="shared" ref="J3:J51" si="4">E3/100</f>
        <v>0.12</v>
      </c>
      <c r="K3">
        <f t="shared" ref="K3:K51" si="5">E3^2</f>
        <v>144</v>
      </c>
      <c r="L3">
        <f t="shared" ref="L3:L51" si="6">SQRT(E3)</f>
        <v>3.4641016151377544</v>
      </c>
      <c r="M3">
        <f t="shared" ref="M3:M51" si="7">ABS(G3)</f>
        <v>45</v>
      </c>
      <c r="N3">
        <f t="shared" ref="N3:N51" si="8">MOD(E3,E4)</f>
        <v>12</v>
      </c>
      <c r="O3">
        <f t="shared" ref="O3:O51" si="9">ROUND(L3,3)</f>
        <v>3.464</v>
      </c>
      <c r="P3">
        <f t="shared" ref="P3:P51" si="10">CEILING(O3,2)</f>
        <v>4</v>
      </c>
      <c r="BK3" t="s">
        <v>130</v>
      </c>
      <c r="BO3" t="s">
        <v>132</v>
      </c>
      <c r="BT3" t="s">
        <v>133</v>
      </c>
    </row>
    <row r="4" spans="5:72">
      <c r="E4">
        <v>57</v>
      </c>
      <c r="F4">
        <f t="shared" si="0"/>
        <v>150</v>
      </c>
      <c r="G4">
        <f t="shared" si="1"/>
        <v>36</v>
      </c>
      <c r="H4">
        <f t="shared" si="2"/>
        <v>5301</v>
      </c>
      <c r="I4">
        <f t="shared" si="3"/>
        <v>0.61290322580645162</v>
      </c>
      <c r="J4" s="6">
        <f t="shared" si="4"/>
        <v>0.56999999999999995</v>
      </c>
      <c r="K4">
        <f t="shared" si="5"/>
        <v>3249</v>
      </c>
      <c r="L4">
        <f t="shared" si="6"/>
        <v>7.5498344352707498</v>
      </c>
      <c r="M4">
        <f t="shared" si="7"/>
        <v>36</v>
      </c>
      <c r="N4">
        <f t="shared" si="8"/>
        <v>57</v>
      </c>
      <c r="O4">
        <f t="shared" si="9"/>
        <v>7.55</v>
      </c>
      <c r="P4">
        <f t="shared" si="10"/>
        <v>8</v>
      </c>
      <c r="T4" t="s">
        <v>9</v>
      </c>
      <c r="Z4" t="s">
        <v>39</v>
      </c>
      <c r="BK4" t="s">
        <v>131</v>
      </c>
      <c r="BO4" s="13">
        <f>DATE(2026,6,23)</f>
        <v>46196</v>
      </c>
      <c r="BP4">
        <f>YEAR(BO4)</f>
        <v>2026</v>
      </c>
      <c r="BQ4">
        <f>MONTH(BO4)</f>
        <v>6</v>
      </c>
      <c r="BR4">
        <f>DAY(BO4)</f>
        <v>23</v>
      </c>
      <c r="BT4" s="12">
        <f ca="1">TODAY()</f>
        <v>46164</v>
      </c>
    </row>
    <row r="5" spans="5:72">
      <c r="E5">
        <v>93</v>
      </c>
      <c r="F5">
        <f t="shared" si="0"/>
        <v>134</v>
      </c>
      <c r="G5">
        <f t="shared" si="1"/>
        <v>-52</v>
      </c>
      <c r="H5">
        <f t="shared" si="2"/>
        <v>3813</v>
      </c>
      <c r="I5">
        <f t="shared" si="3"/>
        <v>2.2682926829268291</v>
      </c>
      <c r="J5" s="6">
        <f t="shared" si="4"/>
        <v>0.93</v>
      </c>
      <c r="K5">
        <f t="shared" si="5"/>
        <v>8649</v>
      </c>
      <c r="L5">
        <f t="shared" si="6"/>
        <v>9.6436507609929549</v>
      </c>
      <c r="M5">
        <f t="shared" si="7"/>
        <v>52</v>
      </c>
      <c r="N5">
        <f t="shared" si="8"/>
        <v>11</v>
      </c>
      <c r="O5">
        <f t="shared" si="9"/>
        <v>9.6440000000000001</v>
      </c>
      <c r="P5">
        <f t="shared" si="10"/>
        <v>10</v>
      </c>
      <c r="T5" s="1" t="s">
        <v>10</v>
      </c>
      <c r="U5" s="1" t="s">
        <v>11</v>
      </c>
      <c r="V5" s="1" t="s">
        <v>12</v>
      </c>
      <c r="W5" s="1" t="s">
        <v>13</v>
      </c>
      <c r="X5" s="1" t="s">
        <v>14</v>
      </c>
      <c r="Z5" s="1" t="s">
        <v>40</v>
      </c>
      <c r="AA5" s="1" t="s">
        <v>11</v>
      </c>
      <c r="AB5" s="1" t="s">
        <v>12</v>
      </c>
      <c r="AC5" s="1" t="s">
        <v>13</v>
      </c>
      <c r="AD5" s="1" t="s">
        <v>14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73</v>
      </c>
      <c r="AV5" t="s">
        <v>76</v>
      </c>
      <c r="AW5" t="s">
        <v>79</v>
      </c>
      <c r="AX5" t="s">
        <v>127</v>
      </c>
      <c r="AY5" t="s">
        <v>125</v>
      </c>
      <c r="AZ5" t="s">
        <v>126</v>
      </c>
      <c r="BA5" t="s">
        <v>92</v>
      </c>
      <c r="BB5" t="s">
        <v>94</v>
      </c>
      <c r="BO5" s="13">
        <f t="shared" ref="BO5:BO12" si="11">DATE(2026,6,23)</f>
        <v>46196</v>
      </c>
      <c r="BP5">
        <f t="shared" ref="BP5:BP10" si="12">YEAR(BO5)</f>
        <v>2026</v>
      </c>
      <c r="BQ5">
        <f t="shared" ref="BQ5:BQ10" si="13">MONTH(BO5)</f>
        <v>6</v>
      </c>
      <c r="BR5">
        <f t="shared" ref="BR5:BR10" si="14">DAY(BO5)</f>
        <v>23</v>
      </c>
      <c r="BT5" s="13">
        <v>45789</v>
      </c>
    </row>
    <row r="6" spans="5:72" ht="30">
      <c r="E6">
        <v>41</v>
      </c>
      <c r="F6">
        <f t="shared" si="0"/>
        <v>117</v>
      </c>
      <c r="G6">
        <f t="shared" si="1"/>
        <v>35</v>
      </c>
      <c r="H6">
        <f t="shared" si="2"/>
        <v>3116</v>
      </c>
      <c r="I6">
        <f t="shared" si="3"/>
        <v>0.53947368421052633</v>
      </c>
      <c r="J6" s="6">
        <f t="shared" si="4"/>
        <v>0.41</v>
      </c>
      <c r="K6">
        <f t="shared" si="5"/>
        <v>1681</v>
      </c>
      <c r="L6">
        <f t="shared" si="6"/>
        <v>6.4031242374328485</v>
      </c>
      <c r="M6">
        <f t="shared" si="7"/>
        <v>35</v>
      </c>
      <c r="N6">
        <f t="shared" si="8"/>
        <v>41</v>
      </c>
      <c r="O6">
        <f t="shared" si="9"/>
        <v>6.4029999999999996</v>
      </c>
      <c r="P6">
        <f t="shared" si="10"/>
        <v>8</v>
      </c>
      <c r="T6" s="4" t="s">
        <v>15</v>
      </c>
      <c r="U6" s="10">
        <f>A1+B1</f>
        <v>0</v>
      </c>
      <c r="V6" s="4" t="s">
        <v>16</v>
      </c>
      <c r="W6" s="10">
        <f>10+20</f>
        <v>30</v>
      </c>
      <c r="X6" s="4">
        <v>30</v>
      </c>
      <c r="Z6" s="4" t="s">
        <v>41</v>
      </c>
      <c r="AA6" s="10" t="str">
        <f>_xlfn.CONCAT(A1,B1)</f>
        <v/>
      </c>
      <c r="AB6" s="4" t="s">
        <v>42</v>
      </c>
      <c r="AC6" s="10" t="str">
        <f>_xlfn.CONCAT("Dev","endra")</f>
        <v>Devendra</v>
      </c>
      <c r="AD6" s="4" t="s">
        <v>43</v>
      </c>
      <c r="AH6" t="s">
        <v>108</v>
      </c>
      <c r="AI6" t="str">
        <f>LEFT(AH6,3)</f>
        <v>App</v>
      </c>
      <c r="AJ6" t="str">
        <f>RIGHT(AH6,4)</f>
        <v>pple</v>
      </c>
      <c r="AK6" t="str">
        <f>_xlfn.CONCAT(AD6,AH6)</f>
        <v>DevendraApple</v>
      </c>
      <c r="AL6" t="str">
        <f>AD6&amp;" &amp; "&amp;AH6</f>
        <v>Devendra &amp; Apple</v>
      </c>
      <c r="AM6" t="str">
        <f>MID(AK6,5,4)</f>
        <v>ndra</v>
      </c>
      <c r="AN6">
        <f>LEN(AK6)</f>
        <v>13</v>
      </c>
      <c r="AO6" t="str">
        <f>UPPER(AK6)</f>
        <v>DEVENDRAAPPLE</v>
      </c>
      <c r="AP6" t="str">
        <f>LOWER(AO6)</f>
        <v>devendraapple</v>
      </c>
      <c r="AQ6" t="str">
        <f>PROPER(AP6)</f>
        <v>Devendraapple</v>
      </c>
      <c r="AR6" t="str">
        <f>TRIM(AL6)</f>
        <v>Devendra &amp; Apple</v>
      </c>
      <c r="AS6">
        <f>FIND("a",AQ6,1)</f>
        <v>8</v>
      </c>
      <c r="AT6" t="e">
        <f>SEARCH("x",AP6,1)</f>
        <v>#VALUE!</v>
      </c>
      <c r="AU6" t="str">
        <f>REPLACE(AQ6,9,13,"Manu")</f>
        <v>DevendraManu</v>
      </c>
      <c r="AV6" t="str">
        <f>SUBSTITUTE(AQ6,"apple","mongo",1)</f>
        <v>Devendramongo</v>
      </c>
      <c r="AW6" t="b">
        <f>EXACT(AO6,AP7)</f>
        <v>0</v>
      </c>
      <c r="AX6" t="str">
        <f>TEXT(1,AM5)</f>
        <v>1i1</v>
      </c>
      <c r="AY6" t="str">
        <f>CLEAN(AR6)</f>
        <v>Devendra &amp; Apple</v>
      </c>
      <c r="BB6" t="str">
        <f>_xlfn.TEXTJOIN("&amp;",TRUE,AV6,AU6)</f>
        <v>Devendramongo&amp;DevendraManu</v>
      </c>
      <c r="BK6" s="12">
        <f ca="1">TODAY()+RANDBETWEEN(1,30)</f>
        <v>46192</v>
      </c>
      <c r="BL6" s="19" t="str">
        <f ca="1">TEXT(BK6,"dddd")</f>
        <v>Friday</v>
      </c>
      <c r="BM6" t="str">
        <f ca="1">TEXT(BK6,"mmmm")</f>
        <v>June</v>
      </c>
      <c r="BO6" s="13">
        <f t="shared" si="11"/>
        <v>46196</v>
      </c>
      <c r="BP6">
        <f t="shared" si="12"/>
        <v>2026</v>
      </c>
      <c r="BQ6">
        <f t="shared" si="13"/>
        <v>6</v>
      </c>
      <c r="BR6">
        <f t="shared" si="14"/>
        <v>23</v>
      </c>
    </row>
    <row r="7" spans="5:72" ht="30">
      <c r="E7">
        <v>76</v>
      </c>
      <c r="F7">
        <f t="shared" si="0"/>
        <v>104</v>
      </c>
      <c r="G7">
        <f t="shared" si="1"/>
        <v>-48</v>
      </c>
      <c r="H7">
        <f t="shared" si="2"/>
        <v>2128</v>
      </c>
      <c r="I7">
        <f t="shared" si="3"/>
        <v>2.7142857142857144</v>
      </c>
      <c r="J7" s="6">
        <f t="shared" si="4"/>
        <v>0.76</v>
      </c>
      <c r="K7">
        <f t="shared" si="5"/>
        <v>5776</v>
      </c>
      <c r="L7">
        <f t="shared" si="6"/>
        <v>8.717797887081348</v>
      </c>
      <c r="M7">
        <f t="shared" si="7"/>
        <v>48</v>
      </c>
      <c r="N7">
        <f t="shared" si="8"/>
        <v>20</v>
      </c>
      <c r="O7">
        <f t="shared" si="9"/>
        <v>8.718</v>
      </c>
      <c r="P7">
        <f t="shared" si="10"/>
        <v>10</v>
      </c>
      <c r="T7" s="4" t="s">
        <v>17</v>
      </c>
      <c r="U7" s="10">
        <f>A1-B1</f>
        <v>0</v>
      </c>
      <c r="V7" s="4" t="s">
        <v>18</v>
      </c>
      <c r="W7" s="10">
        <f>50-20</f>
        <v>30</v>
      </c>
      <c r="X7" s="4">
        <v>30</v>
      </c>
      <c r="Z7" s="10" t="s">
        <v>44</v>
      </c>
      <c r="AA7" s="10" t="str">
        <f>A1&amp;B1</f>
        <v/>
      </c>
      <c r="AB7" s="4" t="s">
        <v>45</v>
      </c>
      <c r="AC7" s="10" t="str">
        <f>"Hello"&amp;" World"</f>
        <v>Hello World</v>
      </c>
      <c r="AD7" s="4" t="s">
        <v>46</v>
      </c>
      <c r="AH7" t="s">
        <v>109</v>
      </c>
      <c r="AI7" t="str">
        <f t="shared" ref="AI7:AI10" si="15">LEFT(AH7,3)</f>
        <v>Hyd</v>
      </c>
      <c r="AJ7" t="str">
        <f t="shared" ref="AJ7:AJ10" si="16">RIGHT(AH7,4)</f>
        <v>abad</v>
      </c>
      <c r="AK7" t="str">
        <f t="shared" ref="AK7:AK10" si="17">_xlfn.CONCAT(AD7,AH7)</f>
        <v>Hello WorldHyderabad</v>
      </c>
      <c r="AL7" t="str">
        <f t="shared" ref="AL7:AL10" si="18">AD7&amp;" &amp; "&amp;AH7</f>
        <v>Hello World &amp; Hyderabad</v>
      </c>
      <c r="AM7" t="str">
        <f t="shared" ref="AM7:AM10" si="19">MID(AK7,5,4)</f>
        <v>o Wo</v>
      </c>
      <c r="AN7">
        <f t="shared" ref="AN7:AN10" si="20">LEN(AK7)</f>
        <v>20</v>
      </c>
      <c r="AO7" t="str">
        <f t="shared" ref="AO7:AO10" si="21">UPPER(AK7)</f>
        <v>HELLO WORLDHYDERABAD</v>
      </c>
      <c r="AP7" t="str">
        <f>LOWER(AO7)</f>
        <v>hello worldhyderabad</v>
      </c>
      <c r="AQ7" t="str">
        <f t="shared" ref="AQ7:AQ10" si="22">PROPER(AP7)</f>
        <v>Hello Worldhyderabad</v>
      </c>
      <c r="AR7" t="str">
        <f t="shared" ref="AR7:AR10" si="23">TRIM(AL7)</f>
        <v>Hello World &amp; Hyderabad</v>
      </c>
      <c r="AS7">
        <f t="shared" ref="AS7:AS10" si="24">FIND("a",AQ7,1)</f>
        <v>17</v>
      </c>
      <c r="AT7" t="e">
        <f t="shared" ref="AT7:AT10" si="25">SEARCH("x",AP7,1)</f>
        <v>#VALUE!</v>
      </c>
      <c r="AU7" t="str">
        <f t="shared" ref="AU7:AU10" si="26">REPLACE(AQ7,9,13,"Manu")</f>
        <v>Hello WoManu</v>
      </c>
      <c r="AV7" t="str">
        <f t="shared" ref="AV7:AV10" si="27">SUBSTITUTE(AQ7,"apple","mongo",1)</f>
        <v>Hello Worldhyderabad</v>
      </c>
      <c r="AW7" t="b">
        <f t="shared" ref="AW7:AW10" si="28">EXACT(AO7,AP8)</f>
        <v>0</v>
      </c>
      <c r="AX7" t="e">
        <f t="shared" ref="AX7:AX10" si="29">TEXT(1,AM6)</f>
        <v>#VALUE!</v>
      </c>
      <c r="AY7" t="str">
        <f t="shared" ref="AY7:AY10" si="30">CLEAN(AR7)</f>
        <v>Hello World &amp; Hyderabad</v>
      </c>
      <c r="BB7" t="str">
        <f t="shared" ref="BB7:BB10" si="31">_xlfn.TEXTJOIN("&amp; ",TRUE,AV7,AU7)</f>
        <v>Hello Worldhyderabad&amp; Hello WoManu</v>
      </c>
      <c r="BK7" s="12">
        <f t="shared" ref="BK7:BK8" ca="1" si="32">TODAY()+RANDBETWEEN(1,30)</f>
        <v>46194</v>
      </c>
      <c r="BL7" s="19" t="str">
        <f t="shared" ref="BL7:BL24" ca="1" si="33">TEXT(BK7,"dddd")</f>
        <v>Sunday</v>
      </c>
      <c r="BM7" t="str">
        <f t="shared" ref="BM7:BM16" ca="1" si="34">TEXT(BK7,"mmmm")</f>
        <v>June</v>
      </c>
      <c r="BO7" s="13">
        <f t="shared" si="11"/>
        <v>46196</v>
      </c>
      <c r="BP7">
        <f t="shared" si="12"/>
        <v>2026</v>
      </c>
      <c r="BQ7">
        <f t="shared" si="13"/>
        <v>6</v>
      </c>
      <c r="BR7">
        <f t="shared" si="14"/>
        <v>23</v>
      </c>
    </row>
    <row r="8" spans="5:72" ht="45">
      <c r="E8">
        <v>28</v>
      </c>
      <c r="F8">
        <f t="shared" si="0"/>
        <v>93</v>
      </c>
      <c r="G8">
        <f t="shared" si="1"/>
        <v>37</v>
      </c>
      <c r="H8">
        <f t="shared" si="2"/>
        <v>1820</v>
      </c>
      <c r="I8">
        <f t="shared" si="3"/>
        <v>0.43076923076923079</v>
      </c>
      <c r="J8" s="6">
        <f t="shared" si="4"/>
        <v>0.28000000000000003</v>
      </c>
      <c r="K8">
        <f t="shared" si="5"/>
        <v>784</v>
      </c>
      <c r="L8">
        <f t="shared" si="6"/>
        <v>5.2915026221291814</v>
      </c>
      <c r="M8">
        <f t="shared" si="7"/>
        <v>37</v>
      </c>
      <c r="N8">
        <f t="shared" si="8"/>
        <v>28</v>
      </c>
      <c r="O8">
        <f t="shared" si="9"/>
        <v>5.2919999999999998</v>
      </c>
      <c r="P8">
        <f t="shared" si="10"/>
        <v>6</v>
      </c>
      <c r="T8" s="4" t="s">
        <v>19</v>
      </c>
      <c r="U8" s="10">
        <f>A1*B1</f>
        <v>0</v>
      </c>
      <c r="V8" s="4" t="s">
        <v>20</v>
      </c>
      <c r="W8" s="10">
        <f>5*6</f>
        <v>30</v>
      </c>
      <c r="X8" s="4">
        <v>30</v>
      </c>
      <c r="Z8" s="4" t="s">
        <v>47</v>
      </c>
      <c r="AA8" s="10" t="str">
        <f>LEFT(A1,3)</f>
        <v/>
      </c>
      <c r="AB8" s="4" t="s">
        <v>48</v>
      </c>
      <c r="AC8" s="10" t="str">
        <f>LEFT("Excel",2)</f>
        <v>Ex</v>
      </c>
      <c r="AD8" s="4" t="s">
        <v>49</v>
      </c>
      <c r="AH8" t="s">
        <v>43</v>
      </c>
      <c r="AI8" t="str">
        <f t="shared" si="15"/>
        <v>Dev</v>
      </c>
      <c r="AJ8" t="str">
        <f t="shared" si="16"/>
        <v>ndra</v>
      </c>
      <c r="AK8" t="str">
        <f t="shared" si="17"/>
        <v>ExDevendra</v>
      </c>
      <c r="AL8" t="str">
        <f t="shared" si="18"/>
        <v>Ex &amp; Devendra</v>
      </c>
      <c r="AM8" t="str">
        <f t="shared" si="19"/>
        <v>vend</v>
      </c>
      <c r="AN8">
        <f t="shared" si="20"/>
        <v>10</v>
      </c>
      <c r="AO8" t="str">
        <f t="shared" si="21"/>
        <v>EXDEVENDRA</v>
      </c>
      <c r="AP8" t="str">
        <f t="shared" ref="AP8:AP10" si="35">LOWER(AO8)</f>
        <v>exdevendra</v>
      </c>
      <c r="AQ8" t="str">
        <f t="shared" si="22"/>
        <v>Exdevendra</v>
      </c>
      <c r="AR8" t="str">
        <f t="shared" si="23"/>
        <v>Ex &amp; Devendra</v>
      </c>
      <c r="AS8">
        <f t="shared" si="24"/>
        <v>10</v>
      </c>
      <c r="AT8">
        <f t="shared" si="25"/>
        <v>2</v>
      </c>
      <c r="AU8" t="str">
        <f t="shared" si="26"/>
        <v>ExdevendManu</v>
      </c>
      <c r="AV8" t="str">
        <f t="shared" si="27"/>
        <v>Exdevendra</v>
      </c>
      <c r="AW8" t="b">
        <f t="shared" si="28"/>
        <v>0</v>
      </c>
      <c r="AX8" t="str">
        <f t="shared" si="29"/>
        <v>o Wo</v>
      </c>
      <c r="AY8" t="str">
        <f t="shared" si="30"/>
        <v>Ex &amp; Devendra</v>
      </c>
      <c r="BB8" t="str">
        <f t="shared" si="31"/>
        <v>Exdevendra&amp; ExdevendManu</v>
      </c>
      <c r="BK8" s="12">
        <f t="shared" ca="1" si="32"/>
        <v>46170</v>
      </c>
      <c r="BL8" s="19" t="str">
        <f t="shared" ca="1" si="33"/>
        <v>Thursday</v>
      </c>
      <c r="BM8" t="str">
        <f t="shared" ca="1" si="34"/>
        <v>May</v>
      </c>
      <c r="BO8" s="13">
        <f t="shared" si="11"/>
        <v>46196</v>
      </c>
      <c r="BP8">
        <f t="shared" si="12"/>
        <v>2026</v>
      </c>
      <c r="BQ8">
        <f t="shared" si="13"/>
        <v>6</v>
      </c>
      <c r="BR8">
        <f t="shared" si="14"/>
        <v>23</v>
      </c>
    </row>
    <row r="9" spans="5:72" ht="60">
      <c r="E9">
        <v>65</v>
      </c>
      <c r="F9">
        <f t="shared" si="0"/>
        <v>84</v>
      </c>
      <c r="G9">
        <f t="shared" si="1"/>
        <v>-46</v>
      </c>
      <c r="H9">
        <f t="shared" si="2"/>
        <v>1235</v>
      </c>
      <c r="I9">
        <f t="shared" si="3"/>
        <v>3.4210526315789473</v>
      </c>
      <c r="J9" s="6">
        <f t="shared" si="4"/>
        <v>0.65</v>
      </c>
      <c r="K9">
        <f t="shared" si="5"/>
        <v>4225</v>
      </c>
      <c r="L9">
        <f t="shared" si="6"/>
        <v>8.0622577482985491</v>
      </c>
      <c r="M9">
        <f t="shared" si="7"/>
        <v>46</v>
      </c>
      <c r="N9">
        <f t="shared" si="8"/>
        <v>8</v>
      </c>
      <c r="O9">
        <f t="shared" si="9"/>
        <v>8.0619999999999994</v>
      </c>
      <c r="P9">
        <f t="shared" si="10"/>
        <v>10</v>
      </c>
      <c r="T9" s="4" t="s">
        <v>21</v>
      </c>
      <c r="U9" s="10" t="e">
        <f>A1/B1</f>
        <v>#DIV/0!</v>
      </c>
      <c r="V9" s="4" t="s">
        <v>22</v>
      </c>
      <c r="W9" s="10">
        <f>100/5</f>
        <v>20</v>
      </c>
      <c r="X9" s="4">
        <v>20</v>
      </c>
      <c r="Z9" s="4" t="s">
        <v>50</v>
      </c>
      <c r="AA9" s="10" t="str">
        <f>RIGHT(A1,3)</f>
        <v/>
      </c>
      <c r="AB9" s="4" t="s">
        <v>51</v>
      </c>
      <c r="AC9" s="10" t="str">
        <f>RIGHT("Excel",3)</f>
        <v>cel</v>
      </c>
      <c r="AD9" s="4" t="s">
        <v>52</v>
      </c>
      <c r="AH9" t="s">
        <v>110</v>
      </c>
      <c r="AI9" t="str">
        <f t="shared" si="15"/>
        <v>Exc</v>
      </c>
      <c r="AJ9" t="str">
        <f t="shared" si="16"/>
        <v>mula</v>
      </c>
      <c r="AK9" t="str">
        <f t="shared" si="17"/>
        <v>celExcelFormula</v>
      </c>
      <c r="AL9" t="str">
        <f t="shared" si="18"/>
        <v>cel &amp; ExcelFormula</v>
      </c>
      <c r="AM9" t="str">
        <f t="shared" si="19"/>
        <v>xcel</v>
      </c>
      <c r="AN9">
        <f t="shared" si="20"/>
        <v>15</v>
      </c>
      <c r="AO9" t="str">
        <f t="shared" si="21"/>
        <v>CELEXCELFORMULA</v>
      </c>
      <c r="AP9" t="str">
        <f t="shared" si="35"/>
        <v>celexcelformula</v>
      </c>
      <c r="AQ9" t="str">
        <f t="shared" si="22"/>
        <v>Celexcelformula</v>
      </c>
      <c r="AR9" t="str">
        <f t="shared" si="23"/>
        <v>cel &amp; ExcelFormula</v>
      </c>
      <c r="AS9">
        <f t="shared" si="24"/>
        <v>15</v>
      </c>
      <c r="AT9">
        <f t="shared" si="25"/>
        <v>5</v>
      </c>
      <c r="AU9" t="str">
        <f t="shared" si="26"/>
        <v>CelexcelManu</v>
      </c>
      <c r="AV9" t="str">
        <f t="shared" si="27"/>
        <v>Celexcelformula</v>
      </c>
      <c r="AW9" t="b">
        <f t="shared" si="28"/>
        <v>0</v>
      </c>
      <c r="AX9" t="e">
        <f t="shared" si="29"/>
        <v>#VALUE!</v>
      </c>
      <c r="AY9" t="str">
        <f t="shared" si="30"/>
        <v>cel &amp; ExcelFormula</v>
      </c>
      <c r="BB9" t="str">
        <f t="shared" si="31"/>
        <v>Celexcelformula&amp; CelexcelManu</v>
      </c>
      <c r="BL9" s="19" t="str">
        <f t="shared" si="33"/>
        <v>Saturday</v>
      </c>
      <c r="BM9" t="str">
        <f t="shared" si="34"/>
        <v>January</v>
      </c>
      <c r="BO9" s="13">
        <f t="shared" si="11"/>
        <v>46196</v>
      </c>
      <c r="BP9">
        <f t="shared" si="12"/>
        <v>2026</v>
      </c>
      <c r="BQ9">
        <f t="shared" si="13"/>
        <v>6</v>
      </c>
      <c r="BR9">
        <f t="shared" si="14"/>
        <v>23</v>
      </c>
    </row>
    <row r="10" spans="5:72" ht="45">
      <c r="E10">
        <v>19</v>
      </c>
      <c r="F10">
        <f t="shared" si="0"/>
        <v>107</v>
      </c>
      <c r="G10">
        <f t="shared" si="1"/>
        <v>69</v>
      </c>
      <c r="H10">
        <f t="shared" si="2"/>
        <v>1672</v>
      </c>
      <c r="I10">
        <f t="shared" si="3"/>
        <v>0.21590909090909091</v>
      </c>
      <c r="J10" s="6">
        <f t="shared" si="4"/>
        <v>0.19</v>
      </c>
      <c r="K10">
        <f t="shared" si="5"/>
        <v>361</v>
      </c>
      <c r="L10">
        <f t="shared" si="6"/>
        <v>4.358898943540674</v>
      </c>
      <c r="M10">
        <f t="shared" si="7"/>
        <v>69</v>
      </c>
      <c r="N10">
        <f t="shared" si="8"/>
        <v>19</v>
      </c>
      <c r="O10">
        <f t="shared" si="9"/>
        <v>4.359</v>
      </c>
      <c r="P10">
        <f t="shared" si="10"/>
        <v>6</v>
      </c>
      <c r="T10" s="4" t="s">
        <v>23</v>
      </c>
      <c r="U10" s="10" t="e" cm="1">
        <f t="array" ref="U10">(Part/Total)*100</f>
        <v>#NAME?</v>
      </c>
      <c r="V10" s="4" t="s">
        <v>24</v>
      </c>
      <c r="W10" s="10">
        <f>(80/100)*100</f>
        <v>80</v>
      </c>
      <c r="X10" s="11">
        <v>0.8</v>
      </c>
      <c r="Z10" s="4" t="s">
        <v>53</v>
      </c>
      <c r="AA10" s="10" t="str">
        <f>MID(A1,2,3)</f>
        <v/>
      </c>
      <c r="AB10" s="4" t="s">
        <v>54</v>
      </c>
      <c r="AC10" s="10" t="str">
        <f>MID("Excel",2,3)</f>
        <v>xce</v>
      </c>
      <c r="AD10" s="4" t="s">
        <v>55</v>
      </c>
      <c r="AH10" t="s">
        <v>111</v>
      </c>
      <c r="AI10" t="str">
        <f t="shared" si="15"/>
        <v>Dat</v>
      </c>
      <c r="AJ10" t="str">
        <f t="shared" si="16"/>
        <v>tics</v>
      </c>
      <c r="AK10" t="str">
        <f t="shared" si="17"/>
        <v>xceDataAnalytics</v>
      </c>
      <c r="AL10" t="str">
        <f t="shared" si="18"/>
        <v>xce &amp; DataAnalytics</v>
      </c>
      <c r="AM10" t="str">
        <f t="shared" si="19"/>
        <v>ataA</v>
      </c>
      <c r="AN10">
        <f t="shared" si="20"/>
        <v>16</v>
      </c>
      <c r="AO10" t="str">
        <f t="shared" si="21"/>
        <v>XCEDATAANALYTICS</v>
      </c>
      <c r="AP10" t="str">
        <f t="shared" si="35"/>
        <v>xcedataanalytics</v>
      </c>
      <c r="AQ10" t="str">
        <f t="shared" si="22"/>
        <v>Xcedataanalytics</v>
      </c>
      <c r="AR10" t="str">
        <f t="shared" si="23"/>
        <v>xce &amp; DataAnalytics</v>
      </c>
      <c r="AS10">
        <f t="shared" si="24"/>
        <v>5</v>
      </c>
      <c r="AT10">
        <f t="shared" si="25"/>
        <v>1</v>
      </c>
      <c r="AU10" t="str">
        <f t="shared" si="26"/>
        <v>XcedataaManu</v>
      </c>
      <c r="AV10" t="str">
        <f t="shared" si="27"/>
        <v>Xcedataanalytics</v>
      </c>
      <c r="AW10" t="b">
        <f t="shared" si="28"/>
        <v>0</v>
      </c>
      <c r="AX10" t="str">
        <f t="shared" si="29"/>
        <v>xc1900l</v>
      </c>
      <c r="AY10" t="str">
        <f t="shared" si="30"/>
        <v>xce &amp; DataAnalytics</v>
      </c>
      <c r="BB10" t="str">
        <f t="shared" si="31"/>
        <v>Xcedataanalytics&amp; XcedataaManu</v>
      </c>
      <c r="BK10" s="13">
        <f ca="1">RANDBETWEEN(DATE(2026,1,23),DATE(2026,3,23))</f>
        <v>46059</v>
      </c>
      <c r="BL10" s="19" t="str">
        <f t="shared" ca="1" si="33"/>
        <v>Friday</v>
      </c>
      <c r="BM10" t="str">
        <f t="shared" ca="1" si="34"/>
        <v>February</v>
      </c>
      <c r="BO10" s="13">
        <f t="shared" si="11"/>
        <v>46196</v>
      </c>
      <c r="BP10">
        <f t="shared" si="12"/>
        <v>2026</v>
      </c>
      <c r="BQ10">
        <f t="shared" si="13"/>
        <v>6</v>
      </c>
      <c r="BR10">
        <f t="shared" si="14"/>
        <v>23</v>
      </c>
    </row>
    <row r="11" spans="5:72" ht="45">
      <c r="E11">
        <v>88</v>
      </c>
      <c r="F11">
        <f t="shared" si="0"/>
        <v>122</v>
      </c>
      <c r="G11">
        <f t="shared" si="1"/>
        <v>-54</v>
      </c>
      <c r="H11">
        <f t="shared" si="2"/>
        <v>2992</v>
      </c>
      <c r="I11">
        <f t="shared" si="3"/>
        <v>2.5882352941176472</v>
      </c>
      <c r="J11" s="6">
        <f t="shared" si="4"/>
        <v>0.88</v>
      </c>
      <c r="K11">
        <f t="shared" si="5"/>
        <v>7744</v>
      </c>
      <c r="L11">
        <f t="shared" si="6"/>
        <v>9.3808315196468595</v>
      </c>
      <c r="M11">
        <f t="shared" si="7"/>
        <v>54</v>
      </c>
      <c r="N11">
        <f t="shared" si="8"/>
        <v>20</v>
      </c>
      <c r="O11">
        <f t="shared" si="9"/>
        <v>9.3810000000000002</v>
      </c>
      <c r="P11">
        <f t="shared" si="10"/>
        <v>10</v>
      </c>
      <c r="T11" s="4" t="s">
        <v>25</v>
      </c>
      <c r="U11" s="10">
        <f>A1^2</f>
        <v>0</v>
      </c>
      <c r="V11" s="4" t="s">
        <v>26</v>
      </c>
      <c r="W11" s="10">
        <f>5^2</f>
        <v>25</v>
      </c>
      <c r="X11" s="4">
        <v>25</v>
      </c>
      <c r="Z11" s="4" t="s">
        <v>56</v>
      </c>
      <c r="AA11" s="10">
        <f>LEN(A1)</f>
        <v>0</v>
      </c>
      <c r="AB11" s="4" t="s">
        <v>57</v>
      </c>
      <c r="AC11" s="10">
        <f>LEN("Excel")</f>
        <v>5</v>
      </c>
      <c r="AD11" s="4">
        <v>5</v>
      </c>
      <c r="BK11" s="14">
        <f ca="1">RANDBETWEEN(DATE(2025,1,1),DATE(2025,12,31))+RAND()</f>
        <v>45886.385753480703</v>
      </c>
      <c r="BL11" s="19" t="str">
        <f t="shared" ca="1" si="33"/>
        <v>Sunday</v>
      </c>
      <c r="BM11" t="str">
        <f t="shared" ca="1" si="34"/>
        <v>August</v>
      </c>
      <c r="BO11" s="13">
        <f t="shared" si="11"/>
        <v>46196</v>
      </c>
    </row>
    <row r="12" spans="5:72" ht="45">
      <c r="E12">
        <v>34</v>
      </c>
      <c r="F12">
        <f t="shared" si="0"/>
        <v>106</v>
      </c>
      <c r="G12">
        <f t="shared" si="1"/>
        <v>38</v>
      </c>
      <c r="H12">
        <f t="shared" si="2"/>
        <v>2448</v>
      </c>
      <c r="I12">
        <f t="shared" si="3"/>
        <v>0.47222222222222221</v>
      </c>
      <c r="J12" s="6">
        <f t="shared" si="4"/>
        <v>0.34</v>
      </c>
      <c r="K12">
        <f t="shared" si="5"/>
        <v>1156</v>
      </c>
      <c r="L12">
        <f t="shared" si="6"/>
        <v>5.8309518948453007</v>
      </c>
      <c r="M12">
        <f t="shared" si="7"/>
        <v>38</v>
      </c>
      <c r="N12">
        <f t="shared" si="8"/>
        <v>34</v>
      </c>
      <c r="O12">
        <f t="shared" si="9"/>
        <v>5.8310000000000004</v>
      </c>
      <c r="P12">
        <f t="shared" si="10"/>
        <v>6</v>
      </c>
      <c r="T12" s="4" t="s">
        <v>27</v>
      </c>
      <c r="U12" s="10">
        <f>SQRT(A1)</f>
        <v>0</v>
      </c>
      <c r="V12" s="4" t="s">
        <v>28</v>
      </c>
      <c r="W12" s="10">
        <f>SQRT(25)</f>
        <v>5</v>
      </c>
      <c r="X12" s="4">
        <v>5</v>
      </c>
      <c r="Z12" s="4" t="s">
        <v>58</v>
      </c>
      <c r="AA12" s="10" t="str">
        <f>UPPER(A1)</f>
        <v/>
      </c>
      <c r="AB12" s="4" t="s">
        <v>59</v>
      </c>
      <c r="AC12" s="10" t="str">
        <f>UPPER("excel")</f>
        <v>EXCEL</v>
      </c>
      <c r="AD12" s="4" t="s">
        <v>60</v>
      </c>
      <c r="BK12" s="14">
        <f>TIME(23,34,11)</f>
        <v>0.98207175925925927</v>
      </c>
      <c r="BL12" s="19" t="str">
        <f t="shared" si="33"/>
        <v>Saturday</v>
      </c>
      <c r="BM12" t="str">
        <f t="shared" si="34"/>
        <v>January</v>
      </c>
      <c r="BO12" s="13">
        <f t="shared" si="11"/>
        <v>46196</v>
      </c>
    </row>
    <row r="13" spans="5:72" ht="45">
      <c r="E13">
        <v>72</v>
      </c>
      <c r="F13">
        <f t="shared" si="0"/>
        <v>122</v>
      </c>
      <c r="G13">
        <f t="shared" si="1"/>
        <v>-22</v>
      </c>
      <c r="H13">
        <f t="shared" si="2"/>
        <v>3600</v>
      </c>
      <c r="I13">
        <f t="shared" si="3"/>
        <v>1.44</v>
      </c>
      <c r="J13" s="6">
        <f t="shared" si="4"/>
        <v>0.72</v>
      </c>
      <c r="K13">
        <f t="shared" si="5"/>
        <v>5184</v>
      </c>
      <c r="L13">
        <f t="shared" si="6"/>
        <v>8.4852813742385695</v>
      </c>
      <c r="M13">
        <f t="shared" si="7"/>
        <v>22</v>
      </c>
      <c r="N13">
        <f t="shared" si="8"/>
        <v>22</v>
      </c>
      <c r="O13">
        <f t="shared" si="9"/>
        <v>8.4849999999999994</v>
      </c>
      <c r="P13">
        <f t="shared" si="10"/>
        <v>10</v>
      </c>
      <c r="T13" s="4" t="s">
        <v>29</v>
      </c>
      <c r="U13" s="10">
        <f>ABS(A1)</f>
        <v>0</v>
      </c>
      <c r="V13" s="4" t="s">
        <v>30</v>
      </c>
      <c r="W13" s="10">
        <f>ABS(-20)</f>
        <v>20</v>
      </c>
      <c r="X13" s="4">
        <v>20</v>
      </c>
      <c r="Z13" s="4" t="s">
        <v>61</v>
      </c>
      <c r="AA13" s="10" t="str">
        <f>LOWER(A1)</f>
        <v/>
      </c>
      <c r="AB13" s="4" t="s">
        <v>62</v>
      </c>
      <c r="AC13" s="10" t="str">
        <f>LOWER("EXCEL")</f>
        <v>excel</v>
      </c>
      <c r="AD13" s="4" t="s">
        <v>63</v>
      </c>
      <c r="BK13" s="16">
        <f>TIME(14,45,20)</f>
        <v>0.61481481481481481</v>
      </c>
      <c r="BL13" s="19" t="str">
        <f t="shared" si="33"/>
        <v>Saturday</v>
      </c>
      <c r="BM13" t="str">
        <f t="shared" si="34"/>
        <v>January</v>
      </c>
    </row>
    <row r="14" spans="5:72" ht="45">
      <c r="E14">
        <v>50</v>
      </c>
      <c r="F14">
        <f t="shared" si="0"/>
        <v>61</v>
      </c>
      <c r="G14">
        <f t="shared" si="1"/>
        <v>-39</v>
      </c>
      <c r="H14">
        <f t="shared" si="2"/>
        <v>550</v>
      </c>
      <c r="I14">
        <f t="shared" si="3"/>
        <v>4.5454545454545459</v>
      </c>
      <c r="J14" s="6">
        <f t="shared" si="4"/>
        <v>0.5</v>
      </c>
      <c r="K14">
        <f t="shared" si="5"/>
        <v>2500</v>
      </c>
      <c r="L14">
        <f t="shared" si="6"/>
        <v>7.0710678118654755</v>
      </c>
      <c r="M14">
        <f t="shared" si="7"/>
        <v>39</v>
      </c>
      <c r="N14">
        <f t="shared" si="8"/>
        <v>6</v>
      </c>
      <c r="O14">
        <f t="shared" si="9"/>
        <v>7.0709999999999997</v>
      </c>
      <c r="P14">
        <f t="shared" si="10"/>
        <v>8</v>
      </c>
      <c r="T14" s="4" t="s">
        <v>31</v>
      </c>
      <c r="U14" s="10" t="e">
        <f>MOD(A1,B1)</f>
        <v>#DIV/0!</v>
      </c>
      <c r="V14" s="4" t="s">
        <v>32</v>
      </c>
      <c r="W14" s="10">
        <f>MOD(10,3)</f>
        <v>1</v>
      </c>
      <c r="X14" s="4">
        <v>1</v>
      </c>
      <c r="Z14" s="4" t="s">
        <v>64</v>
      </c>
      <c r="AA14" s="10" t="str">
        <f>PROPER(A1)</f>
        <v/>
      </c>
      <c r="AB14" s="4" t="s">
        <v>65</v>
      </c>
      <c r="AC14" s="10" t="str">
        <f>PROPER("devendra")</f>
        <v>Devendra</v>
      </c>
      <c r="AD14" s="4" t="s">
        <v>43</v>
      </c>
      <c r="BK14" s="16">
        <f>TIME(0,0,)</f>
        <v>0</v>
      </c>
      <c r="BL14" s="19" t="str">
        <f t="shared" si="33"/>
        <v>Saturday</v>
      </c>
      <c r="BM14" t="str">
        <f t="shared" si="34"/>
        <v>January</v>
      </c>
    </row>
    <row r="15" spans="5:72" ht="45">
      <c r="E15">
        <v>11</v>
      </c>
      <c r="F15">
        <f t="shared" si="0"/>
        <v>108</v>
      </c>
      <c r="G15">
        <f t="shared" si="1"/>
        <v>86</v>
      </c>
      <c r="H15">
        <f t="shared" si="2"/>
        <v>1067</v>
      </c>
      <c r="I15">
        <f t="shared" si="3"/>
        <v>0.1134020618556701</v>
      </c>
      <c r="J15" s="6">
        <f t="shared" si="4"/>
        <v>0.11</v>
      </c>
      <c r="K15">
        <f t="shared" si="5"/>
        <v>121</v>
      </c>
      <c r="L15">
        <f t="shared" si="6"/>
        <v>3.3166247903553998</v>
      </c>
      <c r="M15">
        <f t="shared" si="7"/>
        <v>86</v>
      </c>
      <c r="N15">
        <f t="shared" si="8"/>
        <v>11</v>
      </c>
      <c r="O15">
        <f t="shared" si="9"/>
        <v>3.3170000000000002</v>
      </c>
      <c r="P15">
        <f t="shared" si="10"/>
        <v>4</v>
      </c>
      <c r="T15" s="4" t="s">
        <v>33</v>
      </c>
      <c r="U15" s="10">
        <f>ROUND(A1,2)</f>
        <v>0</v>
      </c>
      <c r="V15" s="4" t="s">
        <v>34</v>
      </c>
      <c r="W15" s="10">
        <f>ROUND(12.567,2)</f>
        <v>12.57</v>
      </c>
      <c r="X15" s="4">
        <v>12.57</v>
      </c>
      <c r="Z15" s="4" t="s">
        <v>66</v>
      </c>
      <c r="AA15" s="10" t="str">
        <f>TRIM(A1)</f>
        <v/>
      </c>
      <c r="AB15" s="4" t="s">
        <v>67</v>
      </c>
      <c r="AC15" s="10" t="str">
        <f>TRIM(" hello ")</f>
        <v>hello</v>
      </c>
      <c r="AD15" s="4" t="s">
        <v>68</v>
      </c>
      <c r="BL15" s="19" t="str">
        <f t="shared" si="33"/>
        <v>Saturday</v>
      </c>
      <c r="BM15" t="str">
        <f t="shared" si="34"/>
        <v>January</v>
      </c>
    </row>
    <row r="16" spans="5:72" ht="30">
      <c r="E16">
        <v>97</v>
      </c>
      <c r="F16">
        <f t="shared" si="0"/>
        <v>160</v>
      </c>
      <c r="G16">
        <f t="shared" si="1"/>
        <v>-34</v>
      </c>
      <c r="H16">
        <f t="shared" si="2"/>
        <v>6111</v>
      </c>
      <c r="I16">
        <f t="shared" si="3"/>
        <v>1.5396825396825398</v>
      </c>
      <c r="J16" s="6">
        <f t="shared" si="4"/>
        <v>0.97</v>
      </c>
      <c r="K16">
        <f t="shared" si="5"/>
        <v>9409</v>
      </c>
      <c r="L16">
        <f t="shared" si="6"/>
        <v>9.8488578017961039</v>
      </c>
      <c r="M16">
        <f t="shared" si="7"/>
        <v>34</v>
      </c>
      <c r="N16">
        <f t="shared" si="8"/>
        <v>34</v>
      </c>
      <c r="O16">
        <f t="shared" si="9"/>
        <v>9.8490000000000002</v>
      </c>
      <c r="P16">
        <f t="shared" si="10"/>
        <v>10</v>
      </c>
      <c r="T16" s="4" t="s">
        <v>35</v>
      </c>
      <c r="U16" s="10">
        <f>CEILING(A1,1)</f>
        <v>0</v>
      </c>
      <c r="V16" s="4" t="s">
        <v>36</v>
      </c>
      <c r="W16" s="10">
        <f>CEILING(12.2,1)</f>
        <v>13</v>
      </c>
      <c r="X16" s="4">
        <v>13</v>
      </c>
      <c r="Z16" s="4" t="s">
        <v>69</v>
      </c>
      <c r="AA16" s="10" t="e">
        <f>FIND("e",A1)</f>
        <v>#VALUE!</v>
      </c>
      <c r="AB16" s="4" t="s">
        <v>70</v>
      </c>
      <c r="AC16" s="10">
        <f>FIND("c","Excel")</f>
        <v>3</v>
      </c>
      <c r="AD16" s="4">
        <v>3</v>
      </c>
      <c r="BL16" s="19" t="str">
        <f t="shared" si="33"/>
        <v>Saturday</v>
      </c>
      <c r="BM16" t="str">
        <f t="shared" si="34"/>
        <v>January</v>
      </c>
    </row>
    <row r="17" spans="5:67" ht="30">
      <c r="E17">
        <v>63</v>
      </c>
      <c r="F17">
        <f t="shared" si="0"/>
        <v>88</v>
      </c>
      <c r="G17">
        <f t="shared" si="1"/>
        <v>-38</v>
      </c>
      <c r="H17">
        <f t="shared" si="2"/>
        <v>1575</v>
      </c>
      <c r="I17">
        <f t="shared" si="3"/>
        <v>2.52</v>
      </c>
      <c r="J17" s="6">
        <f t="shared" si="4"/>
        <v>0.63</v>
      </c>
      <c r="K17">
        <f t="shared" si="5"/>
        <v>3969</v>
      </c>
      <c r="L17">
        <f t="shared" si="6"/>
        <v>7.9372539331937721</v>
      </c>
      <c r="M17">
        <f t="shared" si="7"/>
        <v>38</v>
      </c>
      <c r="N17">
        <f t="shared" si="8"/>
        <v>13</v>
      </c>
      <c r="O17">
        <f t="shared" si="9"/>
        <v>7.9370000000000003</v>
      </c>
      <c r="P17">
        <f t="shared" si="10"/>
        <v>8</v>
      </c>
      <c r="T17" s="4" t="s">
        <v>37</v>
      </c>
      <c r="U17" s="10">
        <f>FLOOR(A1,1)</f>
        <v>0</v>
      </c>
      <c r="V17" s="4" t="s">
        <v>38</v>
      </c>
      <c r="W17" s="10">
        <f>FLOOR(12.9,1)</f>
        <v>12</v>
      </c>
      <c r="X17" s="4">
        <v>12</v>
      </c>
      <c r="Z17" s="4" t="s">
        <v>71</v>
      </c>
      <c r="AA17" s="10" t="e">
        <f>SEARCH("e",A1)</f>
        <v>#VALUE!</v>
      </c>
      <c r="AB17" s="4" t="s">
        <v>72</v>
      </c>
      <c r="AC17" s="10">
        <f>SEARCH("x","Excel")</f>
        <v>2</v>
      </c>
      <c r="AD17" s="4">
        <v>2</v>
      </c>
      <c r="BK17">
        <v>10</v>
      </c>
      <c r="BL17" s="19" t="str">
        <f t="shared" si="33"/>
        <v>Tuesday</v>
      </c>
      <c r="BM17">
        <v>30</v>
      </c>
      <c r="BN17" s="15"/>
    </row>
    <row r="18" spans="5:67" ht="45">
      <c r="E18">
        <v>25</v>
      </c>
      <c r="F18">
        <f t="shared" si="0"/>
        <v>105</v>
      </c>
      <c r="G18">
        <f t="shared" si="1"/>
        <v>55</v>
      </c>
      <c r="H18">
        <f t="shared" si="2"/>
        <v>2000</v>
      </c>
      <c r="I18">
        <f t="shared" si="3"/>
        <v>0.3125</v>
      </c>
      <c r="J18" s="6">
        <f t="shared" si="4"/>
        <v>0.25</v>
      </c>
      <c r="K18">
        <f t="shared" si="5"/>
        <v>625</v>
      </c>
      <c r="L18">
        <f t="shared" si="6"/>
        <v>5</v>
      </c>
      <c r="M18">
        <f t="shared" si="7"/>
        <v>55</v>
      </c>
      <c r="N18">
        <f t="shared" si="8"/>
        <v>25</v>
      </c>
      <c r="O18">
        <f t="shared" si="9"/>
        <v>5</v>
      </c>
      <c r="P18">
        <f t="shared" si="10"/>
        <v>6</v>
      </c>
      <c r="Z18" s="4" t="s">
        <v>73</v>
      </c>
      <c r="AA18" s="10" t="str">
        <f>REPLACE(A1,1,2,"Hi")</f>
        <v>Hi</v>
      </c>
      <c r="AB18" s="4" t="s">
        <v>74</v>
      </c>
      <c r="AC18" s="10" t="str">
        <f>REPLACE("Excel",1,2,"Hi")</f>
        <v>Hicel</v>
      </c>
      <c r="AD18" s="4" t="s">
        <v>75</v>
      </c>
      <c r="BL18" s="19" t="str">
        <f t="shared" si="33"/>
        <v>Saturday</v>
      </c>
      <c r="BN18" s="17">
        <f ca="1">NOW()</f>
        <v>46164.63464236111</v>
      </c>
    </row>
    <row r="19" spans="5:67" ht="30">
      <c r="E19">
        <v>80</v>
      </c>
      <c r="F19">
        <f t="shared" si="0"/>
        <v>126</v>
      </c>
      <c r="G19">
        <f t="shared" si="1"/>
        <v>-34</v>
      </c>
      <c r="H19">
        <f t="shared" si="2"/>
        <v>3680</v>
      </c>
      <c r="I19">
        <f t="shared" si="3"/>
        <v>1.7391304347826086</v>
      </c>
      <c r="J19" s="6">
        <f t="shared" si="4"/>
        <v>0.8</v>
      </c>
      <c r="K19">
        <f t="shared" si="5"/>
        <v>6400</v>
      </c>
      <c r="L19">
        <f t="shared" si="6"/>
        <v>8.9442719099991592</v>
      </c>
      <c r="M19">
        <f t="shared" si="7"/>
        <v>34</v>
      </c>
      <c r="N19">
        <f t="shared" si="8"/>
        <v>34</v>
      </c>
      <c r="O19">
        <f t="shared" si="9"/>
        <v>8.9440000000000008</v>
      </c>
      <c r="P19">
        <f t="shared" si="10"/>
        <v>10</v>
      </c>
      <c r="Z19" s="4" t="s">
        <v>76</v>
      </c>
      <c r="AA19" s="10" t="str">
        <f>SUBSTITUTE(A1,"old","new")</f>
        <v/>
      </c>
      <c r="AB19" s="4" t="s">
        <v>77</v>
      </c>
      <c r="AC19" s="10" t="str">
        <f>SUBSTITUTE("I like tea","tea","coffee")</f>
        <v>I like coffee</v>
      </c>
      <c r="AD19" s="4" t="s">
        <v>78</v>
      </c>
      <c r="BL19" s="19" t="str">
        <f t="shared" si="33"/>
        <v>Saturday</v>
      </c>
      <c r="BN19" s="18">
        <v>0.65208333333333335</v>
      </c>
    </row>
    <row r="20" spans="5:67" ht="30">
      <c r="E20">
        <v>46</v>
      </c>
      <c r="F20">
        <f t="shared" si="0"/>
        <v>105</v>
      </c>
      <c r="G20">
        <f t="shared" si="1"/>
        <v>13</v>
      </c>
      <c r="H20">
        <f t="shared" si="2"/>
        <v>2714</v>
      </c>
      <c r="I20">
        <f t="shared" si="3"/>
        <v>0.77966101694915257</v>
      </c>
      <c r="J20" s="6">
        <f t="shared" si="4"/>
        <v>0.46</v>
      </c>
      <c r="K20">
        <f t="shared" si="5"/>
        <v>2116</v>
      </c>
      <c r="L20">
        <f t="shared" si="6"/>
        <v>6.7823299831252681</v>
      </c>
      <c r="M20">
        <f t="shared" si="7"/>
        <v>13</v>
      </c>
      <c r="N20">
        <f t="shared" si="8"/>
        <v>46</v>
      </c>
      <c r="O20">
        <f t="shared" si="9"/>
        <v>6.782</v>
      </c>
      <c r="P20">
        <f t="shared" si="10"/>
        <v>8</v>
      </c>
      <c r="Z20" s="4" t="s">
        <v>79</v>
      </c>
      <c r="AA20" s="10" t="b">
        <f>EXACT(A1,B1)</f>
        <v>1</v>
      </c>
      <c r="AB20" s="4" t="s">
        <v>80</v>
      </c>
      <c r="AC20" s="10" t="b">
        <f>EXACT("Excel","excel")</f>
        <v>0</v>
      </c>
      <c r="AD20" s="4" t="b">
        <v>0</v>
      </c>
      <c r="BL20" s="19" t="str">
        <f t="shared" si="33"/>
        <v>Saturday</v>
      </c>
    </row>
    <row r="21" spans="5:67" ht="30">
      <c r="E21">
        <v>59</v>
      </c>
      <c r="F21">
        <f t="shared" si="0"/>
        <v>73</v>
      </c>
      <c r="G21">
        <f t="shared" si="1"/>
        <v>-45</v>
      </c>
      <c r="H21">
        <f t="shared" si="2"/>
        <v>826</v>
      </c>
      <c r="I21">
        <f t="shared" si="3"/>
        <v>4.2142857142857144</v>
      </c>
      <c r="J21" s="6">
        <f t="shared" si="4"/>
        <v>0.59</v>
      </c>
      <c r="K21">
        <f t="shared" si="5"/>
        <v>3481</v>
      </c>
      <c r="L21">
        <f t="shared" si="6"/>
        <v>7.6811457478686078</v>
      </c>
      <c r="M21">
        <f t="shared" si="7"/>
        <v>45</v>
      </c>
      <c r="N21">
        <f t="shared" si="8"/>
        <v>3</v>
      </c>
      <c r="O21">
        <f t="shared" si="9"/>
        <v>7.681</v>
      </c>
      <c r="P21">
        <f t="shared" si="10"/>
        <v>8</v>
      </c>
      <c r="Z21" s="4" t="s">
        <v>81</v>
      </c>
      <c r="AA21" s="10" t="str">
        <f>TEXT(A1,"0%")</f>
        <v>0%</v>
      </c>
      <c r="AB21" s="4" t="s">
        <v>82</v>
      </c>
      <c r="AC21" s="10" t="str">
        <f>TEXT(0.25,"0%")</f>
        <v>25%</v>
      </c>
      <c r="AD21" s="11">
        <v>0.25</v>
      </c>
      <c r="BL21" s="19" t="str">
        <f t="shared" si="33"/>
        <v>Saturday</v>
      </c>
      <c r="BO21" s="12">
        <v>46161</v>
      </c>
    </row>
    <row r="22" spans="5:67" ht="45">
      <c r="E22">
        <v>14</v>
      </c>
      <c r="F22">
        <f t="shared" si="0"/>
        <v>105</v>
      </c>
      <c r="G22">
        <f t="shared" si="1"/>
        <v>77</v>
      </c>
      <c r="H22">
        <f t="shared" si="2"/>
        <v>1274</v>
      </c>
      <c r="I22">
        <f t="shared" si="3"/>
        <v>0.15384615384615385</v>
      </c>
      <c r="J22" s="6">
        <f t="shared" si="4"/>
        <v>0.14000000000000001</v>
      </c>
      <c r="K22">
        <f t="shared" si="5"/>
        <v>196</v>
      </c>
      <c r="L22">
        <f t="shared" si="6"/>
        <v>3.7416573867739413</v>
      </c>
      <c r="M22">
        <f t="shared" si="7"/>
        <v>77</v>
      </c>
      <c r="N22">
        <f t="shared" si="8"/>
        <v>14</v>
      </c>
      <c r="O22">
        <f t="shared" si="9"/>
        <v>3.742</v>
      </c>
      <c r="P22">
        <f t="shared" si="10"/>
        <v>4</v>
      </c>
      <c r="Z22" s="4" t="s">
        <v>83</v>
      </c>
      <c r="AA22" s="10">
        <f>VALUE(A1)</f>
        <v>0</v>
      </c>
      <c r="AB22" s="4" t="s">
        <v>84</v>
      </c>
      <c r="AC22" s="10">
        <f>VALUE("100")</f>
        <v>100</v>
      </c>
      <c r="AD22" s="4">
        <v>100</v>
      </c>
      <c r="BL22" s="19" t="str">
        <f t="shared" si="33"/>
        <v>Saturday</v>
      </c>
    </row>
    <row r="23" spans="5:67" ht="60">
      <c r="E23">
        <v>91</v>
      </c>
      <c r="F23">
        <f t="shared" si="0"/>
        <v>129</v>
      </c>
      <c r="G23">
        <f t="shared" si="1"/>
        <v>-53</v>
      </c>
      <c r="H23">
        <f t="shared" si="2"/>
        <v>3458</v>
      </c>
      <c r="I23">
        <f t="shared" si="3"/>
        <v>2.3947368421052633</v>
      </c>
      <c r="J23" s="6">
        <f t="shared" si="4"/>
        <v>0.91</v>
      </c>
      <c r="K23">
        <f t="shared" si="5"/>
        <v>8281</v>
      </c>
      <c r="L23">
        <f t="shared" si="6"/>
        <v>9.5393920141694561</v>
      </c>
      <c r="M23">
        <f t="shared" si="7"/>
        <v>53</v>
      </c>
      <c r="N23">
        <f t="shared" si="8"/>
        <v>15</v>
      </c>
      <c r="O23">
        <f t="shared" si="9"/>
        <v>9.5389999999999997</v>
      </c>
      <c r="P23">
        <f t="shared" si="10"/>
        <v>10</v>
      </c>
      <c r="Z23" s="4" t="s">
        <v>85</v>
      </c>
      <c r="AA23" s="10" t="str">
        <f>CLEAN(A1)</f>
        <v/>
      </c>
      <c r="AB23" s="4" t="s">
        <v>86</v>
      </c>
      <c r="AC23" s="4" t="s">
        <v>87</v>
      </c>
      <c r="AD23" s="4" t="s">
        <v>88</v>
      </c>
      <c r="BL23" s="19" t="str">
        <f t="shared" si="33"/>
        <v>Saturday</v>
      </c>
    </row>
    <row r="24" spans="5:67" ht="45">
      <c r="E24">
        <v>38</v>
      </c>
      <c r="F24">
        <f t="shared" si="0"/>
        <v>105</v>
      </c>
      <c r="G24">
        <f t="shared" si="1"/>
        <v>29</v>
      </c>
      <c r="H24">
        <f t="shared" si="2"/>
        <v>2546</v>
      </c>
      <c r="I24">
        <f t="shared" si="3"/>
        <v>0.56716417910447758</v>
      </c>
      <c r="J24" s="6">
        <f t="shared" si="4"/>
        <v>0.38</v>
      </c>
      <c r="K24">
        <f t="shared" si="5"/>
        <v>1444</v>
      </c>
      <c r="L24">
        <f t="shared" si="6"/>
        <v>6.164414002968976</v>
      </c>
      <c r="M24">
        <f t="shared" si="7"/>
        <v>29</v>
      </c>
      <c r="N24">
        <f t="shared" si="8"/>
        <v>38</v>
      </c>
      <c r="O24">
        <f t="shared" si="9"/>
        <v>6.1639999999999997</v>
      </c>
      <c r="P24">
        <f t="shared" si="10"/>
        <v>8</v>
      </c>
      <c r="Z24" s="4" t="s">
        <v>89</v>
      </c>
      <c r="AA24" s="10" t="str">
        <f>CHAR(65)</f>
        <v>A</v>
      </c>
      <c r="AB24" s="4" t="s">
        <v>90</v>
      </c>
      <c r="AC24" s="10" t="str">
        <f>CHAR(65)</f>
        <v>A</v>
      </c>
      <c r="AD24" s="4" t="s">
        <v>91</v>
      </c>
      <c r="BL24" s="19" t="str">
        <f t="shared" si="33"/>
        <v>Saturday</v>
      </c>
    </row>
    <row r="25" spans="5:67" ht="45">
      <c r="E25">
        <v>67</v>
      </c>
      <c r="F25">
        <f t="shared" si="0"/>
        <v>89</v>
      </c>
      <c r="G25">
        <f t="shared" si="1"/>
        <v>-45</v>
      </c>
      <c r="H25">
        <f t="shared" si="2"/>
        <v>1474</v>
      </c>
      <c r="I25">
        <f t="shared" si="3"/>
        <v>3.0454545454545454</v>
      </c>
      <c r="J25" s="6">
        <f t="shared" si="4"/>
        <v>0.67</v>
      </c>
      <c r="K25">
        <f t="shared" si="5"/>
        <v>4489</v>
      </c>
      <c r="L25">
        <f t="shared" si="6"/>
        <v>8.1853527718724504</v>
      </c>
      <c r="M25">
        <f t="shared" si="7"/>
        <v>45</v>
      </c>
      <c r="N25">
        <f t="shared" si="8"/>
        <v>1</v>
      </c>
      <c r="O25">
        <f t="shared" si="9"/>
        <v>8.1850000000000005</v>
      </c>
      <c r="P25">
        <f t="shared" si="10"/>
        <v>10</v>
      </c>
      <c r="Z25" s="4" t="s">
        <v>92</v>
      </c>
      <c r="AA25" s="10">
        <f>CODE("A")</f>
        <v>65</v>
      </c>
      <c r="AB25" s="4" t="s">
        <v>93</v>
      </c>
      <c r="AC25" s="10">
        <f>CODE("A")</f>
        <v>65</v>
      </c>
      <c r="AD25" s="4">
        <v>65</v>
      </c>
    </row>
    <row r="26" spans="5:67" ht="75">
      <c r="E26">
        <v>22</v>
      </c>
      <c r="F26">
        <f t="shared" si="0"/>
        <v>96</v>
      </c>
      <c r="G26">
        <f t="shared" si="1"/>
        <v>52</v>
      </c>
      <c r="H26">
        <f t="shared" si="2"/>
        <v>1628</v>
      </c>
      <c r="I26">
        <f t="shared" si="3"/>
        <v>0.29729729729729731</v>
      </c>
      <c r="J26" s="6">
        <f t="shared" si="4"/>
        <v>0.22</v>
      </c>
      <c r="K26">
        <f t="shared" si="5"/>
        <v>484</v>
      </c>
      <c r="L26">
        <f t="shared" si="6"/>
        <v>4.6904157598234297</v>
      </c>
      <c r="M26">
        <f t="shared" si="7"/>
        <v>52</v>
      </c>
      <c r="N26">
        <f t="shared" si="8"/>
        <v>22</v>
      </c>
      <c r="O26">
        <f t="shared" si="9"/>
        <v>4.6900000000000004</v>
      </c>
      <c r="P26">
        <f t="shared" si="10"/>
        <v>6</v>
      </c>
      <c r="Z26" s="4" t="s">
        <v>94</v>
      </c>
      <c r="AA26" s="10" t="str">
        <f>_xlfn.TEXTJOIN(",",TRUE,A1:A3)</f>
        <v/>
      </c>
      <c r="AB26" s="4" t="s">
        <v>95</v>
      </c>
      <c r="AC26" s="4" t="s">
        <v>96</v>
      </c>
      <c r="AD26" s="4" t="s">
        <v>97</v>
      </c>
    </row>
    <row r="27" spans="5:67">
      <c r="E27">
        <v>74</v>
      </c>
      <c r="F27">
        <f t="shared" si="0"/>
        <v>127</v>
      </c>
      <c r="G27">
        <f t="shared" si="1"/>
        <v>-21</v>
      </c>
      <c r="H27">
        <f t="shared" si="2"/>
        <v>3922</v>
      </c>
      <c r="I27">
        <f t="shared" si="3"/>
        <v>1.3962264150943395</v>
      </c>
      <c r="J27" s="6">
        <f t="shared" si="4"/>
        <v>0.74</v>
      </c>
      <c r="K27">
        <f t="shared" si="5"/>
        <v>5476</v>
      </c>
      <c r="L27">
        <f t="shared" si="6"/>
        <v>8.6023252670426267</v>
      </c>
      <c r="M27">
        <f t="shared" si="7"/>
        <v>21</v>
      </c>
      <c r="N27">
        <f t="shared" si="8"/>
        <v>21</v>
      </c>
      <c r="O27">
        <f t="shared" si="9"/>
        <v>8.6020000000000003</v>
      </c>
      <c r="P27">
        <f t="shared" si="10"/>
        <v>10</v>
      </c>
    </row>
    <row r="28" spans="5:67">
      <c r="E28">
        <v>53</v>
      </c>
      <c r="F28">
        <f t="shared" si="0"/>
        <v>69</v>
      </c>
      <c r="G28">
        <f t="shared" si="1"/>
        <v>-37</v>
      </c>
      <c r="H28">
        <f t="shared" si="2"/>
        <v>848</v>
      </c>
      <c r="I28">
        <f t="shared" si="3"/>
        <v>3.3125</v>
      </c>
      <c r="J28" s="6">
        <f t="shared" si="4"/>
        <v>0.53</v>
      </c>
      <c r="K28">
        <f t="shared" si="5"/>
        <v>2809</v>
      </c>
      <c r="L28">
        <f t="shared" si="6"/>
        <v>7.2801098892805181</v>
      </c>
      <c r="M28">
        <f t="shared" si="7"/>
        <v>37</v>
      </c>
      <c r="N28">
        <f t="shared" si="8"/>
        <v>5</v>
      </c>
      <c r="O28">
        <f t="shared" si="9"/>
        <v>7.28</v>
      </c>
      <c r="P28">
        <f t="shared" si="10"/>
        <v>8</v>
      </c>
    </row>
    <row r="29" spans="5:67">
      <c r="E29">
        <v>16</v>
      </c>
      <c r="F29">
        <f t="shared" si="0"/>
        <v>115</v>
      </c>
      <c r="G29">
        <f t="shared" si="1"/>
        <v>83</v>
      </c>
      <c r="H29">
        <f t="shared" si="2"/>
        <v>1584</v>
      </c>
      <c r="I29">
        <f t="shared" si="3"/>
        <v>0.16161616161616163</v>
      </c>
      <c r="J29" s="6">
        <f t="shared" si="4"/>
        <v>0.16</v>
      </c>
      <c r="K29">
        <f t="shared" si="5"/>
        <v>256</v>
      </c>
      <c r="L29">
        <f t="shared" si="6"/>
        <v>4</v>
      </c>
      <c r="M29">
        <f t="shared" si="7"/>
        <v>83</v>
      </c>
      <c r="N29">
        <f t="shared" si="8"/>
        <v>16</v>
      </c>
      <c r="O29">
        <f t="shared" si="9"/>
        <v>4</v>
      </c>
      <c r="P29">
        <f t="shared" si="10"/>
        <v>4</v>
      </c>
    </row>
    <row r="30" spans="5:67">
      <c r="E30">
        <v>99</v>
      </c>
      <c r="F30">
        <f t="shared" si="0"/>
        <v>130</v>
      </c>
      <c r="G30">
        <f t="shared" si="1"/>
        <v>-68</v>
      </c>
      <c r="H30">
        <f t="shared" si="2"/>
        <v>3069</v>
      </c>
      <c r="I30">
        <f t="shared" si="3"/>
        <v>3.193548387096774</v>
      </c>
      <c r="J30" s="6">
        <f t="shared" si="4"/>
        <v>0.99</v>
      </c>
      <c r="K30">
        <f t="shared" si="5"/>
        <v>9801</v>
      </c>
      <c r="L30">
        <f t="shared" si="6"/>
        <v>9.9498743710661994</v>
      </c>
      <c r="M30">
        <f t="shared" si="7"/>
        <v>68</v>
      </c>
      <c r="N30">
        <f t="shared" si="8"/>
        <v>6</v>
      </c>
      <c r="O30">
        <f t="shared" si="9"/>
        <v>9.9499999999999993</v>
      </c>
      <c r="P30">
        <f t="shared" si="10"/>
        <v>10</v>
      </c>
    </row>
    <row r="31" spans="5:67">
      <c r="E31">
        <v>31</v>
      </c>
      <c r="F31">
        <f t="shared" si="0"/>
        <v>91</v>
      </c>
      <c r="G31">
        <f t="shared" si="1"/>
        <v>29</v>
      </c>
      <c r="H31">
        <f t="shared" si="2"/>
        <v>1860</v>
      </c>
      <c r="I31">
        <f t="shared" si="3"/>
        <v>0.51666666666666672</v>
      </c>
      <c r="J31" s="6">
        <f t="shared" si="4"/>
        <v>0.31</v>
      </c>
      <c r="K31">
        <f t="shared" si="5"/>
        <v>961</v>
      </c>
      <c r="L31">
        <f t="shared" si="6"/>
        <v>5.5677643628300215</v>
      </c>
      <c r="M31">
        <f t="shared" si="7"/>
        <v>29</v>
      </c>
      <c r="N31">
        <f t="shared" si="8"/>
        <v>31</v>
      </c>
      <c r="O31">
        <f t="shared" si="9"/>
        <v>5.5679999999999996</v>
      </c>
      <c r="P31">
        <f t="shared" si="10"/>
        <v>6</v>
      </c>
    </row>
    <row r="32" spans="5:67">
      <c r="E32">
        <v>60</v>
      </c>
      <c r="F32">
        <f t="shared" si="0"/>
        <v>105</v>
      </c>
      <c r="G32">
        <f t="shared" si="1"/>
        <v>-15</v>
      </c>
      <c r="H32">
        <f t="shared" si="2"/>
        <v>2700</v>
      </c>
      <c r="I32">
        <f t="shared" si="3"/>
        <v>1.3333333333333333</v>
      </c>
      <c r="J32" s="6">
        <f t="shared" si="4"/>
        <v>0.6</v>
      </c>
      <c r="K32">
        <f t="shared" si="5"/>
        <v>3600</v>
      </c>
      <c r="L32">
        <f t="shared" si="6"/>
        <v>7.745966692414834</v>
      </c>
      <c r="M32">
        <f t="shared" si="7"/>
        <v>15</v>
      </c>
      <c r="N32">
        <f t="shared" si="8"/>
        <v>15</v>
      </c>
      <c r="O32">
        <f t="shared" si="9"/>
        <v>7.7460000000000004</v>
      </c>
      <c r="P32">
        <f t="shared" si="10"/>
        <v>8</v>
      </c>
    </row>
    <row r="33" spans="5:16">
      <c r="E33">
        <v>45</v>
      </c>
      <c r="F33">
        <f t="shared" si="0"/>
        <v>127</v>
      </c>
      <c r="G33">
        <f t="shared" si="1"/>
        <v>37</v>
      </c>
      <c r="H33">
        <f t="shared" si="2"/>
        <v>3690</v>
      </c>
      <c r="I33">
        <f t="shared" si="3"/>
        <v>0.54878048780487809</v>
      </c>
      <c r="J33" s="6">
        <f t="shared" si="4"/>
        <v>0.45</v>
      </c>
      <c r="K33">
        <f t="shared" si="5"/>
        <v>2025</v>
      </c>
      <c r="L33">
        <f t="shared" si="6"/>
        <v>6.7082039324993694</v>
      </c>
      <c r="M33">
        <f t="shared" si="7"/>
        <v>37</v>
      </c>
      <c r="N33">
        <f t="shared" si="8"/>
        <v>45</v>
      </c>
      <c r="O33">
        <f t="shared" si="9"/>
        <v>6.7080000000000002</v>
      </c>
      <c r="P33">
        <f t="shared" si="10"/>
        <v>8</v>
      </c>
    </row>
    <row r="34" spans="5:16">
      <c r="E34">
        <v>82</v>
      </c>
      <c r="F34">
        <f t="shared" si="0"/>
        <v>109</v>
      </c>
      <c r="G34">
        <f t="shared" si="1"/>
        <v>-55</v>
      </c>
      <c r="H34">
        <f t="shared" si="2"/>
        <v>2214</v>
      </c>
      <c r="I34">
        <f t="shared" si="3"/>
        <v>3.0370370370370372</v>
      </c>
      <c r="J34" s="6">
        <f t="shared" si="4"/>
        <v>0.82</v>
      </c>
      <c r="K34">
        <f t="shared" si="5"/>
        <v>6724</v>
      </c>
      <c r="L34">
        <f t="shared" si="6"/>
        <v>9.0553851381374173</v>
      </c>
      <c r="M34">
        <f t="shared" si="7"/>
        <v>55</v>
      </c>
      <c r="N34">
        <f t="shared" si="8"/>
        <v>1</v>
      </c>
      <c r="O34">
        <f t="shared" si="9"/>
        <v>9.0549999999999997</v>
      </c>
      <c r="P34">
        <f t="shared" si="10"/>
        <v>10</v>
      </c>
    </row>
    <row r="35" spans="5:16">
      <c r="E35">
        <v>27</v>
      </c>
      <c r="F35">
        <f t="shared" si="0"/>
        <v>97</v>
      </c>
      <c r="G35">
        <f t="shared" si="1"/>
        <v>43</v>
      </c>
      <c r="H35">
        <f t="shared" si="2"/>
        <v>1890</v>
      </c>
      <c r="I35">
        <f t="shared" si="3"/>
        <v>0.38571428571428573</v>
      </c>
      <c r="J35" s="6">
        <f t="shared" si="4"/>
        <v>0.27</v>
      </c>
      <c r="K35">
        <f t="shared" si="5"/>
        <v>729</v>
      </c>
      <c r="L35">
        <f t="shared" si="6"/>
        <v>5.196152422706632</v>
      </c>
      <c r="M35">
        <f t="shared" si="7"/>
        <v>43</v>
      </c>
      <c r="N35">
        <f t="shared" si="8"/>
        <v>27</v>
      </c>
      <c r="O35">
        <f t="shared" si="9"/>
        <v>5.1959999999999997</v>
      </c>
      <c r="P35">
        <f t="shared" si="10"/>
        <v>6</v>
      </c>
    </row>
    <row r="36" spans="5:16">
      <c r="E36">
        <v>70</v>
      </c>
      <c r="F36">
        <f t="shared" si="0"/>
        <v>83</v>
      </c>
      <c r="G36">
        <f t="shared" si="1"/>
        <v>-57</v>
      </c>
      <c r="H36">
        <f t="shared" si="2"/>
        <v>910</v>
      </c>
      <c r="I36">
        <f t="shared" si="3"/>
        <v>5.384615384615385</v>
      </c>
      <c r="J36" s="6">
        <f t="shared" si="4"/>
        <v>0.7</v>
      </c>
      <c r="K36">
        <f t="shared" si="5"/>
        <v>4900</v>
      </c>
      <c r="L36">
        <f t="shared" si="6"/>
        <v>8.3666002653407556</v>
      </c>
      <c r="M36">
        <f t="shared" si="7"/>
        <v>57</v>
      </c>
      <c r="N36">
        <f t="shared" si="8"/>
        <v>5</v>
      </c>
      <c r="O36">
        <f t="shared" si="9"/>
        <v>8.3670000000000009</v>
      </c>
      <c r="P36">
        <f t="shared" si="10"/>
        <v>10</v>
      </c>
    </row>
    <row r="37" spans="5:16">
      <c r="E37">
        <v>13</v>
      </c>
      <c r="F37">
        <f t="shared" si="0"/>
        <v>108</v>
      </c>
      <c r="G37">
        <f t="shared" si="1"/>
        <v>82</v>
      </c>
      <c r="H37">
        <f t="shared" si="2"/>
        <v>1235</v>
      </c>
      <c r="I37">
        <f t="shared" si="3"/>
        <v>0.1368421052631579</v>
      </c>
      <c r="J37" s="6">
        <f t="shared" si="4"/>
        <v>0.13</v>
      </c>
      <c r="K37">
        <f t="shared" si="5"/>
        <v>169</v>
      </c>
      <c r="L37">
        <f t="shared" si="6"/>
        <v>3.6055512754639891</v>
      </c>
      <c r="M37">
        <f t="shared" si="7"/>
        <v>82</v>
      </c>
      <c r="N37">
        <f t="shared" si="8"/>
        <v>13</v>
      </c>
      <c r="O37">
        <f t="shared" si="9"/>
        <v>3.6059999999999999</v>
      </c>
      <c r="P37">
        <f t="shared" si="10"/>
        <v>4</v>
      </c>
    </row>
    <row r="38" spans="5:16">
      <c r="E38">
        <v>95</v>
      </c>
      <c r="F38">
        <f t="shared" si="0"/>
        <v>131</v>
      </c>
      <c r="G38">
        <f t="shared" si="1"/>
        <v>-59</v>
      </c>
      <c r="H38">
        <f t="shared" si="2"/>
        <v>3420</v>
      </c>
      <c r="I38">
        <f t="shared" si="3"/>
        <v>2.6388888888888888</v>
      </c>
      <c r="J38" s="6">
        <f t="shared" si="4"/>
        <v>0.95</v>
      </c>
      <c r="K38">
        <f t="shared" si="5"/>
        <v>9025</v>
      </c>
      <c r="L38">
        <f t="shared" si="6"/>
        <v>9.7467943448089631</v>
      </c>
      <c r="M38">
        <f t="shared" si="7"/>
        <v>59</v>
      </c>
      <c r="N38">
        <f t="shared" si="8"/>
        <v>23</v>
      </c>
      <c r="O38">
        <f t="shared" si="9"/>
        <v>9.7469999999999999</v>
      </c>
      <c r="P38">
        <f t="shared" si="10"/>
        <v>10</v>
      </c>
    </row>
    <row r="39" spans="5:16">
      <c r="E39">
        <v>36</v>
      </c>
      <c r="F39">
        <f t="shared" si="0"/>
        <v>94</v>
      </c>
      <c r="G39">
        <f t="shared" si="1"/>
        <v>22</v>
      </c>
      <c r="H39">
        <f t="shared" si="2"/>
        <v>2088</v>
      </c>
      <c r="I39">
        <f t="shared" si="3"/>
        <v>0.62068965517241381</v>
      </c>
      <c r="J39" s="6">
        <f t="shared" si="4"/>
        <v>0.36</v>
      </c>
      <c r="K39">
        <f t="shared" si="5"/>
        <v>1296</v>
      </c>
      <c r="L39">
        <f t="shared" si="6"/>
        <v>6</v>
      </c>
      <c r="M39">
        <f t="shared" si="7"/>
        <v>22</v>
      </c>
      <c r="N39">
        <f t="shared" si="8"/>
        <v>36</v>
      </c>
      <c r="O39">
        <f t="shared" si="9"/>
        <v>6</v>
      </c>
      <c r="P39">
        <f t="shared" si="10"/>
        <v>6</v>
      </c>
    </row>
    <row r="40" spans="5:16">
      <c r="E40">
        <v>58</v>
      </c>
      <c r="F40">
        <f t="shared" si="0"/>
        <v>79</v>
      </c>
      <c r="G40">
        <f t="shared" si="1"/>
        <v>-37</v>
      </c>
      <c r="H40">
        <f t="shared" si="2"/>
        <v>1218</v>
      </c>
      <c r="I40">
        <f t="shared" si="3"/>
        <v>2.7619047619047619</v>
      </c>
      <c r="J40" s="6">
        <f t="shared" si="4"/>
        <v>0.57999999999999996</v>
      </c>
      <c r="K40">
        <f t="shared" si="5"/>
        <v>3364</v>
      </c>
      <c r="L40">
        <f t="shared" si="6"/>
        <v>7.6157731058639087</v>
      </c>
      <c r="M40">
        <f t="shared" si="7"/>
        <v>37</v>
      </c>
      <c r="N40">
        <f t="shared" si="8"/>
        <v>16</v>
      </c>
      <c r="O40">
        <f t="shared" si="9"/>
        <v>7.6159999999999997</v>
      </c>
      <c r="P40">
        <f t="shared" si="10"/>
        <v>8</v>
      </c>
    </row>
    <row r="41" spans="5:16">
      <c r="E41">
        <v>21</v>
      </c>
      <c r="F41">
        <f t="shared" si="0"/>
        <v>98</v>
      </c>
      <c r="G41">
        <f t="shared" si="1"/>
        <v>56</v>
      </c>
      <c r="H41">
        <f t="shared" si="2"/>
        <v>1617</v>
      </c>
      <c r="I41">
        <f t="shared" si="3"/>
        <v>0.27272727272727271</v>
      </c>
      <c r="J41" s="6">
        <f t="shared" si="4"/>
        <v>0.21</v>
      </c>
      <c r="K41">
        <f t="shared" si="5"/>
        <v>441</v>
      </c>
      <c r="L41">
        <f t="shared" si="6"/>
        <v>4.5825756949558398</v>
      </c>
      <c r="M41">
        <f t="shared" si="7"/>
        <v>56</v>
      </c>
      <c r="N41">
        <f t="shared" si="8"/>
        <v>21</v>
      </c>
      <c r="O41">
        <f t="shared" si="9"/>
        <v>4.5830000000000002</v>
      </c>
      <c r="P41">
        <f t="shared" si="10"/>
        <v>6</v>
      </c>
    </row>
    <row r="42" spans="5:16">
      <c r="E42">
        <v>77</v>
      </c>
      <c r="F42">
        <f t="shared" si="0"/>
        <v>126</v>
      </c>
      <c r="G42">
        <f t="shared" si="1"/>
        <v>-28</v>
      </c>
      <c r="H42">
        <f t="shared" si="2"/>
        <v>3773</v>
      </c>
      <c r="I42">
        <f t="shared" si="3"/>
        <v>1.5714285714285714</v>
      </c>
      <c r="J42" s="6">
        <f t="shared" si="4"/>
        <v>0.77</v>
      </c>
      <c r="K42">
        <f t="shared" si="5"/>
        <v>5929</v>
      </c>
      <c r="L42">
        <f t="shared" si="6"/>
        <v>8.7749643873921226</v>
      </c>
      <c r="M42">
        <f t="shared" si="7"/>
        <v>28</v>
      </c>
      <c r="N42">
        <f t="shared" si="8"/>
        <v>28</v>
      </c>
      <c r="O42">
        <f t="shared" si="9"/>
        <v>8.7750000000000004</v>
      </c>
      <c r="P42">
        <f t="shared" si="10"/>
        <v>10</v>
      </c>
    </row>
    <row r="43" spans="5:16">
      <c r="E43">
        <v>49</v>
      </c>
      <c r="F43">
        <f t="shared" si="0"/>
        <v>135</v>
      </c>
      <c r="G43">
        <f t="shared" si="1"/>
        <v>37</v>
      </c>
      <c r="H43">
        <f t="shared" si="2"/>
        <v>4214</v>
      </c>
      <c r="I43">
        <f t="shared" si="3"/>
        <v>0.56976744186046513</v>
      </c>
      <c r="J43" s="6">
        <f t="shared" si="4"/>
        <v>0.49</v>
      </c>
      <c r="K43">
        <f t="shared" si="5"/>
        <v>2401</v>
      </c>
      <c r="L43">
        <f t="shared" si="6"/>
        <v>7</v>
      </c>
      <c r="M43">
        <f t="shared" si="7"/>
        <v>37</v>
      </c>
      <c r="N43">
        <f t="shared" si="8"/>
        <v>49</v>
      </c>
      <c r="O43">
        <f t="shared" si="9"/>
        <v>7</v>
      </c>
      <c r="P43">
        <f t="shared" si="10"/>
        <v>8</v>
      </c>
    </row>
    <row r="44" spans="5:16">
      <c r="E44">
        <v>86</v>
      </c>
      <c r="F44">
        <f t="shared" si="0"/>
        <v>103</v>
      </c>
      <c r="G44">
        <f t="shared" si="1"/>
        <v>-69</v>
      </c>
      <c r="H44">
        <f t="shared" si="2"/>
        <v>1462</v>
      </c>
      <c r="I44">
        <f t="shared" si="3"/>
        <v>5.0588235294117645</v>
      </c>
      <c r="J44" s="6">
        <f t="shared" si="4"/>
        <v>0.86</v>
      </c>
      <c r="K44">
        <f t="shared" si="5"/>
        <v>7396</v>
      </c>
      <c r="L44">
        <f t="shared" si="6"/>
        <v>9.2736184954957039</v>
      </c>
      <c r="M44">
        <f t="shared" si="7"/>
        <v>69</v>
      </c>
      <c r="N44">
        <f t="shared" si="8"/>
        <v>1</v>
      </c>
      <c r="O44">
        <f t="shared" si="9"/>
        <v>9.2739999999999991</v>
      </c>
      <c r="P44">
        <f t="shared" si="10"/>
        <v>10</v>
      </c>
    </row>
    <row r="45" spans="5:16">
      <c r="E45">
        <v>17</v>
      </c>
      <c r="F45">
        <f t="shared" si="0"/>
        <v>81</v>
      </c>
      <c r="G45">
        <f t="shared" si="1"/>
        <v>47</v>
      </c>
      <c r="H45">
        <f t="shared" si="2"/>
        <v>1088</v>
      </c>
      <c r="I45">
        <f t="shared" si="3"/>
        <v>0.265625</v>
      </c>
      <c r="J45" s="6">
        <f t="shared" si="4"/>
        <v>0.17</v>
      </c>
      <c r="K45">
        <f t="shared" si="5"/>
        <v>289</v>
      </c>
      <c r="L45">
        <f t="shared" si="6"/>
        <v>4.1231056256176606</v>
      </c>
      <c r="M45">
        <f t="shared" si="7"/>
        <v>47</v>
      </c>
      <c r="N45">
        <f t="shared" si="8"/>
        <v>17</v>
      </c>
      <c r="O45">
        <f t="shared" si="9"/>
        <v>4.1230000000000002</v>
      </c>
      <c r="P45">
        <f t="shared" si="10"/>
        <v>6</v>
      </c>
    </row>
    <row r="46" spans="5:16">
      <c r="E46">
        <v>64</v>
      </c>
      <c r="F46">
        <f t="shared" si="0"/>
        <v>93</v>
      </c>
      <c r="G46">
        <f t="shared" si="1"/>
        <v>-35</v>
      </c>
      <c r="H46">
        <f t="shared" si="2"/>
        <v>1856</v>
      </c>
      <c r="I46">
        <f t="shared" si="3"/>
        <v>2.2068965517241379</v>
      </c>
      <c r="J46" s="6">
        <f t="shared" si="4"/>
        <v>0.64</v>
      </c>
      <c r="K46">
        <f t="shared" si="5"/>
        <v>4096</v>
      </c>
      <c r="L46">
        <f t="shared" si="6"/>
        <v>8</v>
      </c>
      <c r="M46">
        <f t="shared" si="7"/>
        <v>35</v>
      </c>
      <c r="N46">
        <f t="shared" si="8"/>
        <v>6</v>
      </c>
      <c r="O46">
        <f t="shared" si="9"/>
        <v>8</v>
      </c>
      <c r="P46">
        <f t="shared" si="10"/>
        <v>8</v>
      </c>
    </row>
    <row r="47" spans="5:16">
      <c r="E47">
        <v>29</v>
      </c>
      <c r="F47">
        <f t="shared" si="0"/>
        <v>121</v>
      </c>
      <c r="G47">
        <f t="shared" si="1"/>
        <v>63</v>
      </c>
      <c r="H47">
        <f t="shared" si="2"/>
        <v>2668</v>
      </c>
      <c r="I47">
        <f t="shared" si="3"/>
        <v>0.31521739130434784</v>
      </c>
      <c r="J47" s="6">
        <f t="shared" si="4"/>
        <v>0.28999999999999998</v>
      </c>
      <c r="K47">
        <f t="shared" si="5"/>
        <v>841</v>
      </c>
      <c r="L47">
        <f t="shared" si="6"/>
        <v>5.3851648071345037</v>
      </c>
      <c r="M47">
        <f t="shared" si="7"/>
        <v>63</v>
      </c>
      <c r="N47">
        <f t="shared" si="8"/>
        <v>29</v>
      </c>
      <c r="O47">
        <f t="shared" si="9"/>
        <v>5.3849999999999998</v>
      </c>
      <c r="P47">
        <f t="shared" si="10"/>
        <v>6</v>
      </c>
    </row>
    <row r="48" spans="5:16">
      <c r="E48">
        <v>92</v>
      </c>
      <c r="F48">
        <f t="shared" si="0"/>
        <v>146</v>
      </c>
      <c r="G48">
        <f t="shared" si="1"/>
        <v>-38</v>
      </c>
      <c r="H48">
        <f t="shared" si="2"/>
        <v>4968</v>
      </c>
      <c r="I48">
        <f t="shared" si="3"/>
        <v>1.7037037037037037</v>
      </c>
      <c r="J48" s="6">
        <f t="shared" si="4"/>
        <v>0.92</v>
      </c>
      <c r="K48">
        <f t="shared" si="5"/>
        <v>8464</v>
      </c>
      <c r="L48">
        <f t="shared" si="6"/>
        <v>9.5916630466254382</v>
      </c>
      <c r="M48">
        <f t="shared" si="7"/>
        <v>38</v>
      </c>
      <c r="N48">
        <f t="shared" si="8"/>
        <v>38</v>
      </c>
      <c r="O48">
        <f t="shared" si="9"/>
        <v>9.5920000000000005</v>
      </c>
      <c r="P48">
        <f t="shared" si="10"/>
        <v>10</v>
      </c>
    </row>
    <row r="49" spans="5:16">
      <c r="E49">
        <v>54</v>
      </c>
      <c r="F49">
        <f t="shared" si="0"/>
        <v>87</v>
      </c>
      <c r="G49">
        <f t="shared" si="1"/>
        <v>-21</v>
      </c>
      <c r="H49">
        <f t="shared" si="2"/>
        <v>1782</v>
      </c>
      <c r="I49">
        <f t="shared" si="3"/>
        <v>1.6363636363636365</v>
      </c>
      <c r="J49" s="6">
        <f t="shared" si="4"/>
        <v>0.54</v>
      </c>
      <c r="K49">
        <f t="shared" si="5"/>
        <v>2916</v>
      </c>
      <c r="L49">
        <f t="shared" si="6"/>
        <v>7.3484692283495345</v>
      </c>
      <c r="M49">
        <f t="shared" si="7"/>
        <v>21</v>
      </c>
      <c r="N49">
        <f t="shared" si="8"/>
        <v>21</v>
      </c>
      <c r="O49">
        <f t="shared" si="9"/>
        <v>7.3479999999999999</v>
      </c>
      <c r="P49">
        <f t="shared" si="10"/>
        <v>8</v>
      </c>
    </row>
    <row r="50" spans="5:16">
      <c r="E50">
        <v>33</v>
      </c>
      <c r="F50">
        <f t="shared" si="0"/>
        <v>101</v>
      </c>
      <c r="G50">
        <f t="shared" si="1"/>
        <v>35</v>
      </c>
      <c r="H50">
        <f t="shared" si="2"/>
        <v>2244</v>
      </c>
      <c r="I50">
        <f t="shared" si="3"/>
        <v>0.48529411764705882</v>
      </c>
      <c r="J50" s="6">
        <f t="shared" si="4"/>
        <v>0.33</v>
      </c>
      <c r="K50">
        <f t="shared" si="5"/>
        <v>1089</v>
      </c>
      <c r="L50">
        <f t="shared" si="6"/>
        <v>5.7445626465380286</v>
      </c>
      <c r="M50">
        <f t="shared" si="7"/>
        <v>35</v>
      </c>
      <c r="N50">
        <f t="shared" si="8"/>
        <v>33</v>
      </c>
      <c r="O50">
        <f t="shared" si="9"/>
        <v>5.7450000000000001</v>
      </c>
      <c r="P50">
        <f t="shared" si="10"/>
        <v>6</v>
      </c>
    </row>
    <row r="51" spans="5:16">
      <c r="E51">
        <v>68</v>
      </c>
      <c r="F51">
        <f t="shared" si="0"/>
        <v>68</v>
      </c>
      <c r="G51">
        <f t="shared" si="1"/>
        <v>-68</v>
      </c>
      <c r="H51">
        <f t="shared" si="2"/>
        <v>0</v>
      </c>
      <c r="I51" t="e">
        <f t="shared" si="3"/>
        <v>#DIV/0!</v>
      </c>
      <c r="J51" s="6">
        <f t="shared" si="4"/>
        <v>0.68</v>
      </c>
      <c r="K51">
        <f t="shared" si="5"/>
        <v>4624</v>
      </c>
      <c r="L51">
        <f t="shared" si="6"/>
        <v>8.2462112512353212</v>
      </c>
      <c r="M51">
        <f t="shared" si="7"/>
        <v>68</v>
      </c>
      <c r="N51" t="e">
        <f t="shared" si="8"/>
        <v>#DIV/0!</v>
      </c>
      <c r="O51">
        <f t="shared" si="9"/>
        <v>8.2460000000000004</v>
      </c>
      <c r="P51">
        <f t="shared" si="10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ADF0-B6BB-490F-A7C4-736D323E26D3}">
  <dimension ref="A1:S30"/>
  <sheetViews>
    <sheetView topLeftCell="G1" zoomScale="87" workbookViewId="0">
      <selection activeCell="P13" sqref="P13"/>
    </sheetView>
  </sheetViews>
  <sheetFormatPr defaultRowHeight="15"/>
  <cols>
    <col min="4" max="4" width="11.5703125" style="23" bestFit="1" customWidth="1"/>
    <col min="9" max="9" width="17.5703125" bestFit="1" customWidth="1"/>
    <col min="10" max="10" width="43.28515625" bestFit="1" customWidth="1"/>
    <col min="11" max="11" width="27.7109375" bestFit="1" customWidth="1"/>
    <col min="12" max="12" width="30.85546875" bestFit="1" customWidth="1"/>
    <col min="13" max="13" width="10.85546875" bestFit="1" customWidth="1"/>
    <col min="14" max="14" width="34.7109375" bestFit="1" customWidth="1"/>
    <col min="15" max="15" width="21.7109375" bestFit="1" customWidth="1"/>
    <col min="16" max="16" width="35.85546875" bestFit="1" customWidth="1"/>
    <col min="17" max="17" width="20.28515625" bestFit="1" customWidth="1"/>
    <col min="18" max="18" width="23.42578125" bestFit="1" customWidth="1"/>
    <col min="19" max="19" width="21.5703125" bestFit="1" customWidth="1"/>
  </cols>
  <sheetData>
    <row r="1" spans="1:19">
      <c r="A1" t="s">
        <v>158</v>
      </c>
      <c r="B1" t="s">
        <v>159</v>
      </c>
      <c r="C1" t="s">
        <v>160</v>
      </c>
      <c r="D1" s="23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188</v>
      </c>
      <c r="K1" t="s">
        <v>187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</row>
    <row r="2" spans="1:19">
      <c r="A2">
        <v>101</v>
      </c>
      <c r="B2" t="s">
        <v>167</v>
      </c>
      <c r="C2" t="s">
        <v>168</v>
      </c>
      <c r="D2" s="23">
        <v>45292</v>
      </c>
      <c r="E2">
        <v>59084</v>
      </c>
      <c r="F2" t="s">
        <v>169</v>
      </c>
      <c r="G2" t="s">
        <v>170</v>
      </c>
      <c r="H2">
        <f>IF(F2="yes",E2*0.2,0)</f>
        <v>0</v>
      </c>
      <c r="I2">
        <f>IF(E2 &gt; 60000,E2*0.3,IF(E2 &gt; 50000,E2*0.2,E2*0.1))</f>
        <v>11816.800000000001</v>
      </c>
      <c r="J2">
        <f>IF(G2="Excellent",E2+E2*0.3,IF(G2="Average",E2+E2*0.2,IF(G2="Good",E2+E2*0.1,E2)))</f>
        <v>76809.2</v>
      </c>
      <c r="K2">
        <f>IF(F2="Yes",E2*1.3,IF(F2="No",E2*1.2))</f>
        <v>70900.800000000003</v>
      </c>
      <c r="L2">
        <f>IF(G2="Excellent",E2+E2*1.3,IF(G2="Average",E2+E2*1.2,IF(G2="Good",E2+E2*1.1,E2)))</f>
        <v>135893.20000000001</v>
      </c>
      <c r="M2">
        <f>SUM(E2+H2)</f>
        <v>59084</v>
      </c>
      <c r="N2">
        <f>SUM(E2+I2)</f>
        <v>70900.800000000003</v>
      </c>
      <c r="O2">
        <f ca="1">DATEDIF(D2,TODAY(), "y")</f>
        <v>2</v>
      </c>
      <c r="P2">
        <f>COUNTIF(C3:C3,"HR")</f>
        <v>1</v>
      </c>
      <c r="Q2" t="str">
        <f>IF(E2&gt;60000,"High Salary","Normal")</f>
        <v>Normal</v>
      </c>
      <c r="R2" t="str">
        <f>IF(AND(F2="Yes",G2="Excellent"),"High Bonus","Normal Bonus")</f>
        <v>Normal Bonus</v>
      </c>
      <c r="S2" s="26">
        <f>(E3-E2)/E2</f>
        <v>6.2131880035204118E-2</v>
      </c>
    </row>
    <row r="3" spans="1:19">
      <c r="A3">
        <v>102</v>
      </c>
      <c r="B3" t="s">
        <v>167</v>
      </c>
      <c r="C3" t="s">
        <v>171</v>
      </c>
      <c r="D3" s="23">
        <v>45293</v>
      </c>
      <c r="E3">
        <v>62755</v>
      </c>
      <c r="F3" t="s">
        <v>169</v>
      </c>
      <c r="G3" t="s">
        <v>172</v>
      </c>
      <c r="H3">
        <f t="shared" ref="H3:H11" si="0">IF(F3="yes",E3*0.2,0)</f>
        <v>0</v>
      </c>
      <c r="I3">
        <f t="shared" ref="I3:I11" si="1">IF(E3 &gt; 60000,E3*0.3,IF(E3 &gt; 50000,E3*0.2,E3*0.1))</f>
        <v>18826.5</v>
      </c>
      <c r="J3">
        <f t="shared" ref="J3:J11" si="2">IF(G3="Excellent",E3+E3*0.3,IF(G3="Average",E3+E3*0.2,IF(G3="Good",E3+E3*0.1,E3)))</f>
        <v>75306</v>
      </c>
      <c r="K3">
        <f t="shared" ref="K3:K11" si="3">IF(F3="Yes",E3*1.3,IF(F3="No",E3*1.2))</f>
        <v>75306</v>
      </c>
      <c r="L3">
        <f t="shared" ref="L3:L11" si="4">IF(G3="Excellent",E3+E3*1.3,IF(G3="Average",E3+E3*1.2,IF(G3="Good",E3+E3*1.1,E3)))</f>
        <v>138061</v>
      </c>
      <c r="M3">
        <f t="shared" ref="M3:M11" si="5">SUM(E3+H3)</f>
        <v>62755</v>
      </c>
      <c r="N3">
        <f t="shared" ref="N3:N11" si="6">SUM(E3+I3)</f>
        <v>81581.5</v>
      </c>
      <c r="O3">
        <f ca="1">DATEDIF(D3,TODAY(),"Y")</f>
        <v>2</v>
      </c>
      <c r="P3">
        <f t="shared" ref="P3:P11" si="7">COUNTIF(C4:C4,"HR")</f>
        <v>0</v>
      </c>
      <c r="Q3" t="str">
        <f t="shared" ref="Q3:Q11" si="8">IF(E3&gt;60000,"High Salary","Normal")</f>
        <v>High Salary</v>
      </c>
      <c r="R3" t="str">
        <f t="shared" ref="R3:R11" si="9">IF(AND(F3="Yes",G3="Excellent"),"High Bonus","Normal Bonus")</f>
        <v>Normal Bonus</v>
      </c>
      <c r="S3">
        <f t="shared" ref="S3:S11" si="10">(E4-E3)/E3*100</f>
        <v>-8.233606883913632</v>
      </c>
    </row>
    <row r="4" spans="1:19">
      <c r="A4">
        <v>103</v>
      </c>
      <c r="B4" t="s">
        <v>173</v>
      </c>
      <c r="C4" t="s">
        <v>174</v>
      </c>
      <c r="D4" s="23">
        <v>45137</v>
      </c>
      <c r="E4">
        <v>57588</v>
      </c>
      <c r="F4" t="s">
        <v>175</v>
      </c>
      <c r="G4" t="s">
        <v>170</v>
      </c>
      <c r="H4">
        <f t="shared" si="0"/>
        <v>11517.6</v>
      </c>
      <c r="I4">
        <f t="shared" si="1"/>
        <v>11517.6</v>
      </c>
      <c r="J4">
        <f t="shared" si="2"/>
        <v>74864.399999999994</v>
      </c>
      <c r="K4">
        <f t="shared" si="3"/>
        <v>74864.400000000009</v>
      </c>
      <c r="L4">
        <f t="shared" si="4"/>
        <v>132452.40000000002</v>
      </c>
      <c r="M4">
        <f t="shared" si="5"/>
        <v>69105.600000000006</v>
      </c>
      <c r="N4">
        <f t="shared" si="6"/>
        <v>69105.600000000006</v>
      </c>
      <c r="O4">
        <f ca="1">DATEDIF(D4,TODAY(),"Y")</f>
        <v>2</v>
      </c>
      <c r="P4">
        <f t="shared" si="7"/>
        <v>0</v>
      </c>
      <c r="Q4" t="str">
        <f t="shared" si="8"/>
        <v>Normal</v>
      </c>
      <c r="R4" t="str">
        <f t="shared" si="9"/>
        <v>High Bonus</v>
      </c>
      <c r="S4">
        <f t="shared" si="10"/>
        <v>2.3042995068417031</v>
      </c>
    </row>
    <row r="5" spans="1:19">
      <c r="A5">
        <v>104</v>
      </c>
      <c r="B5" t="s">
        <v>176</v>
      </c>
      <c r="C5" t="s">
        <v>177</v>
      </c>
      <c r="D5" s="24">
        <v>44150</v>
      </c>
      <c r="E5">
        <v>58915</v>
      </c>
      <c r="F5" t="s">
        <v>169</v>
      </c>
      <c r="G5" t="s">
        <v>178</v>
      </c>
      <c r="H5">
        <f t="shared" si="0"/>
        <v>0</v>
      </c>
      <c r="I5">
        <f t="shared" si="1"/>
        <v>11783</v>
      </c>
      <c r="J5">
        <f t="shared" si="2"/>
        <v>58915</v>
      </c>
      <c r="K5">
        <f t="shared" si="3"/>
        <v>70698</v>
      </c>
      <c r="L5">
        <f t="shared" si="4"/>
        <v>58915</v>
      </c>
      <c r="M5">
        <f t="shared" si="5"/>
        <v>58915</v>
      </c>
      <c r="N5">
        <f t="shared" si="6"/>
        <v>70698</v>
      </c>
      <c r="O5">
        <f t="shared" ref="O5:O11" ca="1" si="11">DATEDIF(D5,TODAY(),"Y")</f>
        <v>5</v>
      </c>
      <c r="P5">
        <f t="shared" si="7"/>
        <v>0</v>
      </c>
      <c r="Q5" t="str">
        <f t="shared" si="8"/>
        <v>Normal</v>
      </c>
      <c r="R5" t="str">
        <f t="shared" si="9"/>
        <v>Normal Bonus</v>
      </c>
      <c r="S5">
        <f t="shared" si="10"/>
        <v>7.6924382585080204</v>
      </c>
    </row>
    <row r="6" spans="1:19">
      <c r="A6">
        <v>105</v>
      </c>
      <c r="B6" t="s">
        <v>179</v>
      </c>
      <c r="C6" t="s">
        <v>168</v>
      </c>
      <c r="D6" s="23">
        <v>45211</v>
      </c>
      <c r="E6">
        <v>63447</v>
      </c>
      <c r="F6" t="s">
        <v>169</v>
      </c>
      <c r="G6" t="s">
        <v>180</v>
      </c>
      <c r="H6">
        <f t="shared" si="0"/>
        <v>0</v>
      </c>
      <c r="I6">
        <f t="shared" si="1"/>
        <v>19034.099999999999</v>
      </c>
      <c r="J6">
        <f t="shared" si="2"/>
        <v>69791.7</v>
      </c>
      <c r="K6">
        <f t="shared" si="3"/>
        <v>76136.399999999994</v>
      </c>
      <c r="L6">
        <f t="shared" si="4"/>
        <v>133238.70000000001</v>
      </c>
      <c r="M6">
        <f t="shared" si="5"/>
        <v>63447</v>
      </c>
      <c r="N6">
        <f t="shared" si="6"/>
        <v>82481.100000000006</v>
      </c>
      <c r="O6">
        <f t="shared" ca="1" si="11"/>
        <v>2</v>
      </c>
      <c r="P6">
        <f t="shared" si="7"/>
        <v>0</v>
      </c>
      <c r="Q6" t="str">
        <f t="shared" si="8"/>
        <v>High Salary</v>
      </c>
      <c r="R6" t="str">
        <f t="shared" si="9"/>
        <v>Normal Bonus</v>
      </c>
      <c r="S6">
        <f t="shared" si="10"/>
        <v>-27.879962803599856</v>
      </c>
    </row>
    <row r="7" spans="1:19">
      <c r="A7">
        <v>106</v>
      </c>
      <c r="B7" t="s">
        <v>181</v>
      </c>
      <c r="C7" t="s">
        <v>174</v>
      </c>
      <c r="D7" s="23">
        <v>44586</v>
      </c>
      <c r="E7">
        <v>45758</v>
      </c>
      <c r="F7" t="s">
        <v>175</v>
      </c>
      <c r="G7" t="s">
        <v>170</v>
      </c>
      <c r="H7">
        <f t="shared" si="0"/>
        <v>9151.6</v>
      </c>
      <c r="I7">
        <f t="shared" si="1"/>
        <v>4575.8</v>
      </c>
      <c r="J7">
        <f t="shared" si="2"/>
        <v>59485.4</v>
      </c>
      <c r="K7">
        <f t="shared" si="3"/>
        <v>59485.4</v>
      </c>
      <c r="L7">
        <f t="shared" si="4"/>
        <v>105243.4</v>
      </c>
      <c r="M7">
        <f t="shared" si="5"/>
        <v>54909.599999999999</v>
      </c>
      <c r="N7">
        <f t="shared" si="6"/>
        <v>50333.8</v>
      </c>
      <c r="O7">
        <f t="shared" ca="1" si="11"/>
        <v>4</v>
      </c>
      <c r="P7">
        <f t="shared" si="7"/>
        <v>1</v>
      </c>
      <c r="Q7" t="str">
        <f t="shared" si="8"/>
        <v>Normal</v>
      </c>
      <c r="R7" t="str">
        <f t="shared" si="9"/>
        <v>High Bonus</v>
      </c>
      <c r="S7">
        <f t="shared" si="10"/>
        <v>35.744569255649282</v>
      </c>
    </row>
    <row r="8" spans="1:19">
      <c r="A8">
        <v>107</v>
      </c>
      <c r="B8" t="s">
        <v>182</v>
      </c>
      <c r="C8" t="s">
        <v>171</v>
      </c>
      <c r="D8" s="23">
        <v>45412</v>
      </c>
      <c r="E8">
        <v>62114</v>
      </c>
      <c r="F8" t="s">
        <v>169</v>
      </c>
      <c r="G8" t="s">
        <v>180</v>
      </c>
      <c r="H8">
        <f t="shared" si="0"/>
        <v>0</v>
      </c>
      <c r="I8">
        <f t="shared" si="1"/>
        <v>18634.2</v>
      </c>
      <c r="J8">
        <f t="shared" si="2"/>
        <v>68325.399999999994</v>
      </c>
      <c r="K8">
        <f t="shared" si="3"/>
        <v>74536.800000000003</v>
      </c>
      <c r="L8">
        <f t="shared" si="4"/>
        <v>130439.40000000001</v>
      </c>
      <c r="M8">
        <f t="shared" si="5"/>
        <v>62114</v>
      </c>
      <c r="N8">
        <f t="shared" si="6"/>
        <v>80748.2</v>
      </c>
      <c r="O8">
        <f t="shared" ca="1" si="11"/>
        <v>2</v>
      </c>
      <c r="P8">
        <f t="shared" si="7"/>
        <v>0</v>
      </c>
      <c r="Q8" t="str">
        <f t="shared" si="8"/>
        <v>High Salary</v>
      </c>
      <c r="R8" t="str">
        <f t="shared" si="9"/>
        <v>Normal Bonus</v>
      </c>
      <c r="S8">
        <f t="shared" si="10"/>
        <v>-0.51035193354155262</v>
      </c>
    </row>
    <row r="9" spans="1:19">
      <c r="A9">
        <v>108</v>
      </c>
      <c r="B9" t="s">
        <v>183</v>
      </c>
      <c r="C9" t="s">
        <v>177</v>
      </c>
      <c r="D9" s="23">
        <v>45245</v>
      </c>
      <c r="E9">
        <v>61797</v>
      </c>
      <c r="F9" t="s">
        <v>175</v>
      </c>
      <c r="G9" t="s">
        <v>172</v>
      </c>
      <c r="H9">
        <f t="shared" si="0"/>
        <v>12359.400000000001</v>
      </c>
      <c r="I9">
        <f t="shared" si="1"/>
        <v>18539.099999999999</v>
      </c>
      <c r="J9">
        <f t="shared" si="2"/>
        <v>74156.399999999994</v>
      </c>
      <c r="K9">
        <f t="shared" si="3"/>
        <v>80336.100000000006</v>
      </c>
      <c r="L9">
        <f t="shared" si="4"/>
        <v>135953.4</v>
      </c>
      <c r="M9">
        <f t="shared" si="5"/>
        <v>74156.399999999994</v>
      </c>
      <c r="N9">
        <f t="shared" si="6"/>
        <v>80336.100000000006</v>
      </c>
      <c r="O9">
        <f t="shared" ca="1" si="11"/>
        <v>2</v>
      </c>
      <c r="P9">
        <f t="shared" si="7"/>
        <v>0</v>
      </c>
      <c r="Q9" t="str">
        <f t="shared" si="8"/>
        <v>High Salary</v>
      </c>
      <c r="R9" t="str">
        <f t="shared" si="9"/>
        <v>Normal Bonus</v>
      </c>
      <c r="S9">
        <f t="shared" si="10"/>
        <v>-18.368205576322474</v>
      </c>
    </row>
    <row r="10" spans="1:19">
      <c r="A10">
        <v>109</v>
      </c>
      <c r="B10" t="s">
        <v>184</v>
      </c>
      <c r="C10" t="s">
        <v>174</v>
      </c>
      <c r="D10" s="23">
        <v>45635</v>
      </c>
      <c r="E10">
        <v>50446</v>
      </c>
      <c r="F10" t="s">
        <v>169</v>
      </c>
      <c r="G10" t="s">
        <v>170</v>
      </c>
      <c r="H10">
        <f t="shared" si="0"/>
        <v>0</v>
      </c>
      <c r="I10">
        <f t="shared" si="1"/>
        <v>10089.200000000001</v>
      </c>
      <c r="J10">
        <f t="shared" si="2"/>
        <v>65579.8</v>
      </c>
      <c r="K10">
        <f t="shared" si="3"/>
        <v>60535.199999999997</v>
      </c>
      <c r="L10">
        <f t="shared" si="4"/>
        <v>116025.8</v>
      </c>
      <c r="M10">
        <f t="shared" si="5"/>
        <v>50446</v>
      </c>
      <c r="N10">
        <f t="shared" si="6"/>
        <v>60535.199999999997</v>
      </c>
      <c r="O10">
        <f t="shared" ca="1" si="11"/>
        <v>1</v>
      </c>
      <c r="P10">
        <f t="shared" si="7"/>
        <v>1</v>
      </c>
      <c r="Q10" t="str">
        <f t="shared" si="8"/>
        <v>Normal</v>
      </c>
      <c r="R10" t="str">
        <f t="shared" si="9"/>
        <v>Normal Bonus</v>
      </c>
      <c r="S10">
        <f t="shared" si="10"/>
        <v>14.984339689965509</v>
      </c>
    </row>
    <row r="11" spans="1:19">
      <c r="A11">
        <v>110</v>
      </c>
      <c r="B11" t="s">
        <v>185</v>
      </c>
      <c r="C11" t="s">
        <v>171</v>
      </c>
      <c r="D11" s="23">
        <v>44439</v>
      </c>
      <c r="E11">
        <v>58005</v>
      </c>
      <c r="F11" t="s">
        <v>175</v>
      </c>
      <c r="G11" t="s">
        <v>172</v>
      </c>
      <c r="H11">
        <f t="shared" si="0"/>
        <v>11601</v>
      </c>
      <c r="I11">
        <f t="shared" si="1"/>
        <v>11601</v>
      </c>
      <c r="J11">
        <f t="shared" si="2"/>
        <v>69606</v>
      </c>
      <c r="K11">
        <f t="shared" si="3"/>
        <v>75406.5</v>
      </c>
      <c r="L11">
        <f t="shared" si="4"/>
        <v>127611</v>
      </c>
      <c r="M11">
        <f t="shared" si="5"/>
        <v>69606</v>
      </c>
      <c r="N11">
        <f t="shared" si="6"/>
        <v>69606</v>
      </c>
      <c r="O11">
        <f t="shared" ca="1" si="11"/>
        <v>4</v>
      </c>
      <c r="P11">
        <f t="shared" si="7"/>
        <v>0</v>
      </c>
      <c r="Q11" t="str">
        <f t="shared" si="8"/>
        <v>Normal</v>
      </c>
      <c r="R11" t="str">
        <f t="shared" si="9"/>
        <v>Normal Bonus</v>
      </c>
      <c r="S11">
        <f t="shared" si="10"/>
        <v>-100</v>
      </c>
    </row>
    <row r="15" spans="1:19">
      <c r="M15" t="s">
        <v>197</v>
      </c>
    </row>
    <row r="20" spans="9:15">
      <c r="J20" s="12"/>
    </row>
    <row r="21" spans="9:15">
      <c r="O21" s="21"/>
    </row>
    <row r="22" spans="9:15">
      <c r="I22" s="12"/>
    </row>
    <row r="23" spans="9:15">
      <c r="I23" s="12"/>
      <c r="O23" s="21" t="s">
        <v>186</v>
      </c>
    </row>
    <row r="24" spans="9:15">
      <c r="I24" s="12"/>
      <c r="O24" t="str">
        <f>IF(AND(LEFT(O23,3)="+91",MID(O23,4,1)&gt;="6",LEN(O23)=13),"YES A INDIAN MOBILE NUMBER","NOT AN INDIAN MOBILE NUMBER")</f>
        <v>YES A INDIAN MOBILE NUMBER</v>
      </c>
    </row>
    <row r="25" spans="9:15">
      <c r="I25" s="22"/>
    </row>
    <row r="26" spans="9:15">
      <c r="I26" s="12"/>
    </row>
    <row r="27" spans="9:15">
      <c r="I27" s="12"/>
      <c r="J27" s="21"/>
    </row>
    <row r="28" spans="9:15">
      <c r="I28" s="13"/>
    </row>
    <row r="29" spans="9:15">
      <c r="I29" s="13"/>
    </row>
    <row r="30" spans="9:15">
      <c r="I30" s="1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4A67-A2EF-458B-862D-351725433874}">
  <dimension ref="A1:D11"/>
  <sheetViews>
    <sheetView workbookViewId="0">
      <selection activeCell="A11" sqref="A11"/>
    </sheetView>
  </sheetViews>
  <sheetFormatPr defaultRowHeight="15"/>
  <cols>
    <col min="1" max="1" width="10.42578125" bestFit="1" customWidth="1"/>
  </cols>
  <sheetData>
    <row r="1" spans="1:4">
      <c r="A1" s="27" t="s">
        <v>161</v>
      </c>
    </row>
    <row r="2" spans="1:4">
      <c r="A2" s="27" t="s">
        <v>161</v>
      </c>
    </row>
    <row r="3" spans="1:4">
      <c r="A3" s="27" t="s">
        <v>161</v>
      </c>
      <c r="D3" s="25"/>
    </row>
    <row r="4" spans="1:4">
      <c r="A4" s="27" t="s">
        <v>161</v>
      </c>
    </row>
    <row r="5" spans="1:4">
      <c r="A5" s="27" t="s">
        <v>161</v>
      </c>
    </row>
    <row r="6" spans="1:4">
      <c r="A6" s="27" t="s">
        <v>161</v>
      </c>
    </row>
    <row r="7" spans="1:4">
      <c r="A7" s="27" t="s">
        <v>161</v>
      </c>
    </row>
    <row r="8" spans="1:4">
      <c r="A8" s="27" t="s">
        <v>161</v>
      </c>
    </row>
    <row r="9" spans="1:4">
      <c r="A9" s="27" t="s">
        <v>161</v>
      </c>
    </row>
    <row r="10" spans="1:4">
      <c r="A10" s="27" t="s">
        <v>161</v>
      </c>
    </row>
    <row r="11" spans="1:4">
      <c r="A11" s="27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Sheet4</vt:lpstr>
      <vt:lpstr>Sheet5</vt:lpstr>
      <vt:lpstr>Sheet3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Kushwah</dc:creator>
  <cp:lastModifiedBy>Devendra Kushwah</cp:lastModifiedBy>
  <dcterms:created xsi:type="dcterms:W3CDTF">2026-05-16T09:31:31Z</dcterms:created>
  <dcterms:modified xsi:type="dcterms:W3CDTF">2026-05-22T09:43:53Z</dcterms:modified>
</cp:coreProperties>
</file>